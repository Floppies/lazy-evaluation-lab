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064e7a69563b1cc/Documentos/Facultad/PI/"/>
    </mc:Choice>
  </mc:AlternateContent>
  <xr:revisionPtr revIDLastSave="7" documentId="11_C27E5AC99C89B6BB8EBF7E84FAE8FE9ACFD4594C" xr6:coauthVersionLast="47" xr6:coauthVersionMax="47" xr10:uidLastSave="{EDBBC185-D293-4909-AC97-0E72F23A5657}"/>
  <bookViews>
    <workbookView xWindow="-120" yWindow="-120" windowWidth="38640" windowHeight="21120" activeTab="2" xr2:uid="{00000000-000D-0000-FFFF-FFFF00000000}"/>
  </bookViews>
  <sheets>
    <sheet name="Comparación" sheetId="1" r:id="rId1"/>
    <sheet name="Gantt A" sheetId="2" r:id="rId2"/>
    <sheet name="Gant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4" i="3" l="1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C15" i="1" s="1"/>
  <c r="I33" i="3"/>
  <c r="H33" i="3"/>
  <c r="G32" i="3"/>
  <c r="E4" i="3" s="1"/>
  <c r="C10" i="1" s="1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B4" i="3" s="1"/>
  <c r="C8" i="1" s="1"/>
  <c r="O11" i="3"/>
  <c r="N11" i="3"/>
  <c r="M11" i="3"/>
  <c r="L11" i="3"/>
  <c r="K11" i="3"/>
  <c r="J11" i="3"/>
  <c r="I11" i="3"/>
  <c r="H11" i="3"/>
  <c r="X10" i="3"/>
  <c r="W10" i="3"/>
  <c r="V10" i="3"/>
  <c r="U10" i="3"/>
  <c r="T10" i="3"/>
  <c r="S10" i="3"/>
  <c r="R10" i="3"/>
  <c r="Q10" i="3"/>
  <c r="P10" i="3"/>
  <c r="O10" i="3"/>
  <c r="O9" i="3" s="1"/>
  <c r="N10" i="3"/>
  <c r="N9" i="3" s="1"/>
  <c r="M10" i="3"/>
  <c r="L10" i="3"/>
  <c r="K10" i="3"/>
  <c r="J10" i="3"/>
  <c r="I10" i="3"/>
  <c r="H10" i="3"/>
  <c r="M9" i="3"/>
  <c r="L9" i="3"/>
  <c r="K9" i="3"/>
  <c r="J9" i="3"/>
  <c r="I9" i="3"/>
  <c r="H9" i="3"/>
  <c r="X8" i="3"/>
  <c r="X11" i="3" s="1"/>
  <c r="W8" i="3"/>
  <c r="W9" i="3" s="1"/>
  <c r="V8" i="3"/>
  <c r="V11" i="3" s="1"/>
  <c r="U8" i="3"/>
  <c r="U11" i="3" s="1"/>
  <c r="T8" i="3"/>
  <c r="T11" i="3" s="1"/>
  <c r="S8" i="3"/>
  <c r="S9" i="3" s="1"/>
  <c r="R8" i="3"/>
  <c r="R9" i="3" s="1"/>
  <c r="Q8" i="3"/>
  <c r="Q11" i="3" s="1"/>
  <c r="P8" i="3"/>
  <c r="C11" i="1" s="1"/>
  <c r="O8" i="3"/>
  <c r="N8" i="3"/>
  <c r="M8" i="3"/>
  <c r="L8" i="3"/>
  <c r="K8" i="3"/>
  <c r="J8" i="3"/>
  <c r="I8" i="3"/>
  <c r="H8" i="3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P11" i="2"/>
  <c r="O11" i="2"/>
  <c r="N11" i="2"/>
  <c r="M11" i="2"/>
  <c r="L11" i="2"/>
  <c r="K11" i="2"/>
  <c r="J11" i="2"/>
  <c r="I11" i="2"/>
  <c r="P10" i="2"/>
  <c r="O10" i="2"/>
  <c r="N10" i="2"/>
  <c r="M10" i="2"/>
  <c r="L10" i="2"/>
  <c r="K10" i="2"/>
  <c r="J10" i="2"/>
  <c r="I10" i="2"/>
  <c r="H10" i="2"/>
  <c r="P8" i="2"/>
  <c r="P9" i="2" s="1"/>
  <c r="O8" i="2"/>
  <c r="O9" i="2" s="1"/>
  <c r="N8" i="2"/>
  <c r="N9" i="2" s="1"/>
  <c r="M8" i="2"/>
  <c r="M9" i="2" s="1"/>
  <c r="L8" i="2"/>
  <c r="L9" i="2" s="1"/>
  <c r="K8" i="2"/>
  <c r="K9" i="2" s="1"/>
  <c r="J8" i="2"/>
  <c r="J9" i="2" s="1"/>
  <c r="I8" i="2"/>
  <c r="I9" i="2" s="1"/>
  <c r="H8" i="2"/>
  <c r="H11" i="2" s="1"/>
  <c r="E4" i="2"/>
  <c r="B4" i="2"/>
  <c r="B8" i="1" s="1"/>
  <c r="B9" i="1" s="1"/>
  <c r="B10" i="1"/>
  <c r="C12" i="1" l="1"/>
  <c r="C9" i="1"/>
  <c r="C14" i="1"/>
  <c r="C13" i="1"/>
  <c r="H9" i="2"/>
  <c r="T9" i="3"/>
  <c r="R11" i="3"/>
  <c r="U9" i="3"/>
  <c r="S11" i="3"/>
  <c r="P9" i="3"/>
  <c r="Q9" i="3"/>
  <c r="P11" i="3"/>
  <c r="V9" i="3"/>
  <c r="X9" i="3"/>
  <c r="B12" i="1"/>
  <c r="W11" i="3"/>
  <c r="B11" i="1"/>
  <c r="B14" i="1" l="1"/>
  <c r="B13" i="1"/>
  <c r="B15" i="1"/>
</calcChain>
</file>

<file path=xl/sharedStrings.xml><?xml version="1.0" encoding="utf-8"?>
<sst xmlns="http://schemas.openxmlformats.org/spreadsheetml/2006/main" count="326" uniqueCount="220">
  <si>
    <t>PI: dos cronogramas desde el 5 de octubre de 2026</t>
  </si>
  <si>
    <t>Indicador</t>
  </si>
  <si>
    <t>Propuesta A</t>
  </si>
  <si>
    <t>Propuesta B</t>
  </si>
  <si>
    <t>Fecha de inicio</t>
  </si>
  <si>
    <t>Cierre técnico</t>
  </si>
  <si>
    <t>Integrantes previstos</t>
  </si>
  <si>
    <t>Horas totales incl. reserva</t>
  </si>
  <si>
    <t>Horas de trabajo estimadas</t>
  </si>
  <si>
    <t>Reserva incluida (h)</t>
  </si>
  <si>
    <t>Pico semanal proyecto (h)</t>
  </si>
  <si>
    <t>Promedio por semana completa*</t>
  </si>
  <si>
    <t>Pico si se realiza sola (h)</t>
  </si>
  <si>
    <t>Pico promedio por integrante</t>
  </si>
  <si>
    <t>Pico por responsable asignado</t>
  </si>
  <si>
    <t>Supuestos y criterios de planificación</t>
  </si>
  <si>
    <t>Semana inicial</t>
  </si>
  <si>
    <t>05–11/10: destinada a especificación. Se presupuestan 20 h de diseño; reemplazarlas por las reales cuando las tengas.</t>
  </si>
  <si>
    <t>Último bloque A</t>
  </si>
  <si>
    <t>30/11–01/12: sólo dos días, 8 h incluyendo 4 h de reserva. El trabajo sustancial termina el 29/11.</t>
  </si>
  <si>
    <t>* Promedios</t>
  </si>
  <si>
    <t>A: primeras 8 semanas completas. B: 17 semanas completas. Las horas incluyen la contingencia.</t>
  </si>
  <si>
    <t>Alcance A</t>
  </si>
  <si>
    <t>CBV + CBNeed sobre Core, runtime explícito, listas/recursión, trazas, métricas, grafo, experimentos e informe.</t>
  </si>
  <si>
    <t>Alcance B</t>
  </si>
  <si>
    <t>A + CBN, STG (lowering y ejecución), reachability, mark-and-sweep, lifetime y visualización de memoria.</t>
  </si>
  <si>
    <t>Diseño común</t>
  </si>
  <si>
    <t>Se aprovecha la especificación amplia ya acordada. A entrega el núcleo; implementar todo B para diciembre requiere reestimar.</t>
  </si>
  <si>
    <t>Decisiones retomadas</t>
  </si>
  <si>
    <t>Sintaxis similar a Haskell; recursión mutua; stack; snapshots por transición; valores canónicos y demanda WHNF/completa.</t>
  </si>
  <si>
    <t>Especificación disponible</t>
  </si>
  <si>
    <t>Se incorporan decisiones visibles del intercambio; no se recibió un archivo consolidado de la especificación técnica.</t>
  </si>
  <si>
    <t>Viabilidad A</t>
  </si>
  <si>
    <t>Posible pero ajustada, con 32–38 h en las semanas de implementación. Congelar alcance y escribir desde octubre.</t>
  </si>
  <si>
    <t>Viabilidad B sola</t>
  </si>
  <si>
    <t>El plan suma una carga total ≤36 h/semana. Es una estimación, sin garantía: hay que verificarla con velocidad real del primer mes.</t>
  </si>
  <si>
    <t>Reparto B</t>
  </si>
  <si>
    <t>I1: lenguaje/evaluadores/STG. I2: métricas/memoria/UI. Ambos: contratos/tests/experimentos/informe.</t>
  </si>
  <si>
    <t>Horas por integrante</t>
  </si>
  <si>
    <t>El promedio divide el total por 2. B también calcula carga de I1/I2 según responsables y reparte Ambos en partes iguales; hay semanas desiguales.</t>
  </si>
  <si>
    <t>Fiestas y vacaciones</t>
  </si>
  <si>
    <t>B reduce carga a 32 h (21–27/12), 16 h (28/12–03/01) y 24 h (04–10/01). Una ausencia mayor requiere reprogramar.</t>
  </si>
  <si>
    <t>Recursión y PPS</t>
  </si>
  <si>
    <t>Ambos incluyen comparación acotada C/Haskell: lineal, acumulador, listas y reutilización, además de las estrategias del modelo.</t>
  </si>
  <si>
    <t>Validez experimental</t>
  </si>
  <si>
    <t>Comparar métricas del intérprete entre estrategias. C/Haskell se comparan entre sí con entradas y demanda equivalentes; no equiparar pasos a segundos.</t>
  </si>
  <si>
    <t>Dependencias</t>
  </si>
  <si>
    <t>Son gates de integración. Runtime/UI/tests pueden avanzar con contratos; validar módulos antes de integrar. Las dependencias no se reprograman solas.</t>
  </si>
  <si>
    <t>Uso del archivo</t>
  </si>
  <si>
    <t>Celdas de horas y fechas editables. Totales y barras se recalculan; al mover actividades revisar fechas, dependencias y sobrecargas.</t>
  </si>
  <si>
    <t>Contingencia</t>
  </si>
  <si>
    <t>La reserva ya forma parte de la carga semanal. Usarla para demora o correcciones, no para agregar funciones.</t>
  </si>
  <si>
    <t>Entrega académica</t>
  </si>
  <si>
    <t>Las fechas indican finalización técnica de software/dataset/informe. Revisión de tutores y fecha de defensa se coordinan aparte.</t>
  </si>
  <si>
    <t>Fuente del alcance</t>
  </si>
  <si>
    <t>PropuestaA(1).md, §§18–24; PropuestaB(1).md, §§41–59; decisiones visibles de la especificación y pedido de recursión del tutor.</t>
  </si>
  <si>
    <t>Base de estimación</t>
  </si>
  <si>
    <t>Estimación nueva por actividad, no medición histórica. Revisar el 25/10 con parser, runtime y CBV implementados.</t>
  </si>
  <si>
    <t>Gantt A — cierre 2026-12-01</t>
  </si>
  <si>
    <t>Horas proyecto</t>
  </si>
  <si>
    <t>Reserva (h)</t>
  </si>
  <si>
    <t>Semanas con reserva incluida; cifras estimadas, no horas efectivamente registradas.</t>
  </si>
  <si>
    <t>Inicio semana</t>
  </si>
  <si>
    <t>Fin semana</t>
  </si>
  <si>
    <t>Carga total (h)</t>
  </si>
  <si>
    <t>Trabajo + correcciones (h)</t>
  </si>
  <si>
    <t>Carga Flor (1 integrante)</t>
  </si>
  <si>
    <t>ID</t>
  </si>
  <si>
    <t>Actividad</t>
  </si>
  <si>
    <t>Responsable</t>
  </si>
  <si>
    <t>Inicio</t>
  </si>
  <si>
    <t>Fin</t>
  </si>
  <si>
    <t>Horas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</si>
  <si>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</si>
  <si>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</si>
  <si>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</si>
  <si>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</si>
  <si>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</si>
  <si>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</si>
  <si>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</si>
  <si>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</si>
  <si>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</si>
  <si>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A01</t>
  </si>
  <si>
    <t>Especificación técnica</t>
  </si>
  <si>
    <t>Flor</t>
  </si>
  <si>
    <t>—</t>
  </si>
  <si>
    <t>A02</t>
  </si>
  <si>
    <t>Lexer, parser y desugaring a Core</t>
  </si>
  <si>
    <t>A03</t>
  </si>
  <si>
    <t>Runtime común y control de ejecución</t>
  </si>
  <si>
    <t>A01; integra A02</t>
  </si>
  <si>
    <t>A04</t>
  </si>
  <si>
    <t>Evaluador CBV</t>
  </si>
  <si>
    <t>A02, A03</t>
  </si>
  <si>
    <t>A05</t>
  </si>
  <si>
    <t>Evaluador call-by-need</t>
  </si>
  <si>
    <t>A06</t>
  </si>
  <si>
    <t>Listas y recursión</t>
  </si>
  <si>
    <t>A07</t>
  </si>
  <si>
    <t>Trazas y métricas comparables</t>
  </si>
  <si>
    <t>A03; completa con A06</t>
  </si>
  <si>
    <t>A08</t>
  </si>
  <si>
    <t>Visualizador y grafo de heap</t>
  </si>
  <si>
    <t>A05, A07</t>
  </si>
  <si>
    <t>A09</t>
  </si>
  <si>
    <t>Campaña experimental del modelo</t>
  </si>
  <si>
    <t>A06, A07</t>
  </si>
  <si>
    <t>A10</t>
  </si>
  <si>
    <t>Recursión: contraste C y Haskell</t>
  </si>
  <si>
    <t>A06; protocolo con A09</t>
  </si>
  <si>
    <t>A11</t>
  </si>
  <si>
    <t>Tests e integración continuos</t>
  </si>
  <si>
    <t>Según módulo disponible</t>
  </si>
  <si>
    <t>A12</t>
  </si>
  <si>
    <t>Informe, análisis y documentación</t>
  </si>
  <si>
    <t>Desde A01; resultados A09/A10</t>
  </si>
  <si>
    <t>A13</t>
  </si>
  <si>
    <t>Revisión y entrega técnica</t>
  </si>
  <si>
    <t>A08–A12</t>
  </si>
  <si>
    <t>A14</t>
  </si>
  <si>
    <t>Reserva para imprevistos</t>
  </si>
  <si>
    <t>Se consume donde sea necesario</t>
  </si>
  <si>
    <t>Criterio de cierre por actividad</t>
  </si>
  <si>
    <t>Cerrar sintaxis, Surface/AST/Core, ExecutionState, frames, demanda y métricas. Semana imputada a diseño, no a código.</t>
  </si>
  <si>
    <t>Source → AST → Core. Errores de sintaxis y bindings, incluidos recursivos.</t>
  </si>
  <si>
    <t>Heap, stack, environments, closures, step/snapshot, HALTED, errores y límites de ejecución.</t>
  </si>
  <si>
    <t>Aplicación, operaciones y condicionales; primer evaluador validado.</t>
  </si>
  <si>
    <t>Thunks, forcing, UpdateFrame, sharing y blackholes. Resultado canónico y observación según demanda.</t>
  </si>
  <si>
    <t>Constructores, case, recursión mutua, map/take/folds e infinitas con demanda finita.</t>
  </si>
  <si>
    <t>Pasos operacionales vs reducciones semánticas, aplicaciones, allocations, thunks y sharedResultHits; exportación.</t>
  </si>
  <si>
    <t>Código, estado actual, stack, heap, métricas; step/previous/run/pause/reset y replay de snapshots.</t>
  </si>
  <si>
    <t>Argumentos no usados, sharing, listas infinitas, folds y acumulación; mismo programa/entrada/demanda.</t>
  </si>
  <si>
    <t>Cuatro patrones: lineal, acumulador, listas y reutilización. Scripts y tamaños acotados; registrar compilador/flags.</t>
  </si>
  <si>
    <t>Tests semánticos, límites, errores, snapshot/replay y equivalencia de resultados finitos CBV/CBNeed.</t>
  </si>
  <si>
    <t>Escritura incremental; tablas, gráficos, discusión, límites, README y referencias.</t>
  </si>
  <si>
    <t>30/11: revisar paquete. 01/12: versión final del software, datos e informe.</t>
  </si>
  <si>
    <t>Horas libres presupuestadas para correcciones y demoras; no son funciones adicionales.</t>
  </si>
  <si>
    <t>Gantt B — cierre 2027-01-31</t>
  </si>
  <si>
    <t>Promedio por integrante (2)</t>
  </si>
  <si>
    <t>S10</t>
  </si>
  <si>
    <t>S11</t>
  </si>
  <si>
    <t>S12</t>
  </si>
  <si>
    <t>S13</t>
  </si>
  <si>
    <t>S14</t>
  </si>
  <si>
    <t>S15</t>
  </si>
  <si>
    <t>S16</t>
  </si>
  <si>
    <t>S17</t>
  </si>
  <si>
    <t>B01</t>
  </si>
  <si>
    <t>Especificación técnica compartida</t>
  </si>
  <si>
    <t>Ambos</t>
  </si>
  <si>
    <t>B02</t>
  </si>
  <si>
    <t>Lexer, parser y Core</t>
  </si>
  <si>
    <t>I1</t>
  </si>
  <si>
    <t>B03</t>
  </si>
  <si>
    <t>Runtime, trazas y contratos</t>
  </si>
  <si>
    <t>B01; integra B02</t>
  </si>
  <si>
    <t>B04</t>
  </si>
  <si>
    <t>CBV</t>
  </si>
  <si>
    <t>B02, B03</t>
  </si>
  <si>
    <t>B05</t>
  </si>
  <si>
    <t>Call-by-need</t>
  </si>
  <si>
    <t>B06</t>
  </si>
  <si>
    <t>B07</t>
  </si>
  <si>
    <t>Instrumentación y métricas</t>
  </si>
  <si>
    <t>I2</t>
  </si>
  <si>
    <t>B03; completa con B06</t>
  </si>
  <si>
    <t>B08</t>
  </si>
  <si>
    <t>Visualizador base y heap graph</t>
  </si>
  <si>
    <t>B03; integra B05/B07</t>
  </si>
  <si>
    <t>B09</t>
  </si>
  <si>
    <t>STG: lowering y representación</t>
  </si>
  <si>
    <t>B06; contrato B01</t>
  </si>
  <si>
    <t>B10</t>
  </si>
  <si>
    <t>STG: máquina e integración</t>
  </si>
  <si>
    <t>B11</t>
  </si>
  <si>
    <t>Call-by-name</t>
  </si>
  <si>
    <t>B05, B07</t>
  </si>
  <si>
    <t>B12</t>
  </si>
  <si>
    <t>Reachability y mark-and-sweep</t>
  </si>
  <si>
    <t>B03, B07; contrato roots B10</t>
  </si>
  <si>
    <t>B13</t>
  </si>
  <si>
    <t>Lifetime y visualización de memoria</t>
  </si>
  <si>
    <t>B14</t>
  </si>
  <si>
    <t>Experimentos preliminares y base</t>
  </si>
  <si>
    <t>B06–B08</t>
  </si>
  <si>
    <t>B15</t>
  </si>
  <si>
    <t>B06; protocolo B14</t>
  </si>
  <si>
    <t>B16</t>
  </si>
  <si>
    <t>Campaña definitiva y dataset</t>
  </si>
  <si>
    <t>B10–B15 y estabilización</t>
  </si>
  <si>
    <t>B17</t>
  </si>
  <si>
    <t>B18</t>
  </si>
  <si>
    <t>Informe y análisis incremental</t>
  </si>
  <si>
    <t>Desde B01; dataset B16</t>
  </si>
  <si>
    <t>B19</t>
  </si>
  <si>
    <t>Documentación, demo y entrega</t>
  </si>
  <si>
    <t>B16–B18</t>
  </si>
  <si>
    <t>B20</t>
  </si>
  <si>
    <t>Carga I1 (h)</t>
  </si>
  <si>
    <t>Carga I2 (h)</t>
  </si>
  <si>
    <t>Diseño común, incluido contrato Core/STG, lowerToStg, observe, estados, snapshots y métricas.</t>
  </si>
  <si>
    <t>Source → AST → Core; sintaxis, desugaring, bindings y validación.</t>
  </si>
  <si>
    <t>Heap, stack, environments, closures, ExecutionState, tracing y ejecución limitada.</t>
  </si>
  <si>
    <t>Primer evaluador y observación canónica con modos de demanda.</t>
  </si>
  <si>
    <t>Thunks, updates, sharing, blackholes y stack explícito.</t>
  </si>
  <si>
    <t>Constructores, case, recursión mutua, map/take/folds e infinitas.</t>
  </si>
  <si>
    <t>Métricas comparables, exportación y separación de reducciones y transiciones.</t>
  </si>
  <si>
    <t>Paso/replay, source, expresión, stack, heap y métricas. Versión base demostrable 29/11.</t>
  </si>
  <si>
    <t>lowerToStg sobre subconjunto acordado; closures, bindings, apps, constructors y case.</t>
  </si>
  <si>
    <t>Ejecución del subconjunto STG y observe; comparar valores canónicos con Core y explicar diferencias operacionales.</t>
  </si>
  <si>
    <t>Evaluación diferida sin actualización compartida; coste de reevaluaciones.</t>
  </si>
  <si>
    <t>Roots correctas, recorrido, triggers y eventos; live/unreachable/collected, GC ON/OFF.</t>
  </si>
  <si>
    <t>Creation/first-use/last-use/unreachable/collected, timeline y heap vivo vs asignado.</t>
  </si>
  <si>
    <t>Validar protocolo y tamaños; smoke tests, GC y tres estrategias antes de campaña definitiva.</t>
  </si>
  <si>
    <t>Lineal, acumulador, listas y reutilización; scripts reproducibles con flags, RTS y demanda documentados.</t>
  </si>
  <si>
    <t>CBV/CBN/CBNeed, GC ON/OFF cuando aplica, Core/STG en subconjunto común. Dataset congelado 17/01.</t>
  </si>
  <si>
    <t>Semántica, lowering, raíces y GC, replay y regresiones. Fiestas sin funcionalidad crítica nueva.</t>
  </si>
  <si>
    <t>Método y arquitectura desde el inicio; análisis final 18–24/01 y cierre 25–31/01.</t>
  </si>
  <si>
    <t>Software, dataset, scripts, README, guía, informe, anexos y demostración. Cierre técnico 31/01.</t>
  </si>
  <si>
    <t>Contingencia explícita para bugs, integración, vacaciones y revisión. No agrega alcance.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</si>
</sst>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"/>
    <numFmt numFmtId="165" formatCode="dd/mm/yy"/>
    <numFmt numFmtId="166" formatCode="dd/mm/yyyy"/>
    <numFmt numFmtId="167" formatCode="0.0"/>
  </numFmts>
  <fonts count="17">
    <font>
      <sz val="11"/>
      <name val="Carlito"/>
    </font>
    <font>
      <sz val="10"/>
      <color rgb="FF243247"/>
      <name val="Arial"/>
    </font>
    <font>
      <b/>
      <sz val="16"/>
      <color rgb="FF244B7A"/>
      <name val="Arial"/>
    </font>
    <font>
      <b/>
      <sz val="10"/>
      <color rgb="FFFFFFFF"/>
      <name val="Arial"/>
    </font>
    <font>
      <b/>
      <sz val="10"/>
      <color rgb="FF243247"/>
      <name val="Arial"/>
    </font>
    <font>
      <sz val="10"/>
      <color rgb="FF244B7A"/>
      <name val="Arial"/>
    </font>
    <font>
      <i/>
      <sz val="10"/>
      <color rgb="FF64748B"/>
      <name val="Arial"/>
    </font>
    <font>
      <b/>
      <sz val="14"/>
      <color rgb="FF244B7A"/>
      <name val="Arial"/>
    </font>
    <font>
      <b/>
      <sz val="16"/>
      <color rgb="FF285F49"/>
      <name val="Arial"/>
    </font>
    <font>
      <sz val="10"/>
      <color rgb="FF285F49"/>
      <name val="Arial"/>
    </font>
    <font>
      <b/>
      <sz val="14"/>
      <color rgb="FF285F49"/>
      <name val="Arial"/>
    </font>
    <font>
      <sz val="11"/>
      <color rgb="FF243247"/>
      <name val="Arial"/>
    </font>
    <font>
      <b/>
      <sz val="16"/>
      <color rgb="FF243247"/>
      <name val="Arial"/>
    </font>
    <font>
      <b/>
      <sz val="11"/>
      <color rgb="FFFFFFFF"/>
      <name val="Arial"/>
    </font>
    <font>
      <b/>
      <sz val="14"/>
      <color rgb="FF243247"/>
      <name val="Arial"/>
    </font>
    <font>
      <sz val="10"/>
      <color rgb="FF243247"/>
      <name val="Arial"/>
      <family val="2"/>
    </font>
    <font>
      <sz val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44B7A"/>
      </patternFill>
    </fill>
    <fill>
      <patternFill patternType="solid">
        <fgColor rgb="FFE6EDF5"/>
      </patternFill>
    </fill>
    <fill>
      <patternFill patternType="solid">
        <fgColor rgb="FFDCE7F4"/>
      </patternFill>
    </fill>
    <fill>
      <patternFill patternType="solid">
        <fgColor rgb="FFF4F7FA"/>
      </patternFill>
    </fill>
    <fill>
      <patternFill patternType="solid">
        <fgColor rgb="FF285F49"/>
      </patternFill>
    </fill>
    <fill>
      <patternFill patternType="solid">
        <fgColor rgb="FFEDF4EF"/>
      </patternFill>
    </fill>
    <fill>
      <patternFill patternType="solid">
        <fgColor rgb="FF28364D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vertical="center"/>
    </xf>
    <xf numFmtId="165" fontId="1" fillId="5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7" borderId="0" xfId="0" applyFont="1" applyFill="1" applyAlignment="1">
      <alignment vertical="center"/>
    </xf>
    <xf numFmtId="1" fontId="1" fillId="7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8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1" fillId="9" borderId="0" xfId="0" applyFont="1" applyFill="1" applyAlignment="1">
      <alignment vertical="center"/>
    </xf>
    <xf numFmtId="0" fontId="0" fillId="9" borderId="0" xfId="0" applyFill="1"/>
    <xf numFmtId="0" fontId="13" fillId="8" borderId="0" xfId="0" applyFont="1" applyFill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11" fillId="9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9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" fillId="0" borderId="0" xfId="0" applyFont="1" applyBorder="1" applyAlignment="1">
      <alignment vertical="center"/>
    </xf>
    <xf numFmtId="0" fontId="3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6">
    <dxf>
      <font>
        <color rgb="FF715015"/>
      </font>
      <fill>
        <patternFill patternType="solid">
          <bgColor rgb="FFFFE7B3"/>
        </patternFill>
      </fill>
    </dxf>
    <dxf>
      <font>
        <b/>
        <color rgb="FF285F49"/>
      </font>
      <fill>
        <patternFill patternType="solid">
          <bgColor rgb="FFD7EADF"/>
        </patternFill>
      </fill>
    </dxf>
    <dxf>
      <font>
        <b/>
        <color rgb="FFA00000"/>
      </font>
      <fill>
        <patternFill patternType="solid">
          <bgColor rgb="FFFFD6D6"/>
        </patternFill>
      </fill>
    </dxf>
    <dxf>
      <font>
        <color rgb="FF715015"/>
      </font>
      <fill>
        <patternFill patternType="solid">
          <bgColor rgb="FFFFE7B3"/>
        </patternFill>
      </fill>
    </dxf>
    <dxf>
      <font>
        <b/>
        <color rgb="FF244B7A"/>
      </font>
      <fill>
        <patternFill patternType="solid">
          <bgColor rgb="FFCFE3F7"/>
        </patternFill>
      </fill>
    </dxf>
    <dxf>
      <font>
        <b/>
        <color rgb="FFA00000"/>
      </font>
      <fill>
        <patternFill patternType="solid">
          <bgColor rgb="FFFFD6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364D"/>
  </sheetPr>
  <dimension ref="A1:F37"/>
  <sheetViews>
    <sheetView showGridLines="0" topLeftCell="A26" workbookViewId="0"/>
  </sheetViews>
  <sheetFormatPr defaultRowHeight="14.25"/>
  <cols>
    <col min="1" max="1" width="31" customWidth="1"/>
    <col min="2" max="3" width="23" customWidth="1"/>
    <col min="4" max="6" width="15" customWidth="1"/>
  </cols>
  <sheetData>
    <row r="1" spans="1:6">
      <c r="A1" s="19"/>
      <c r="B1" s="19"/>
      <c r="C1" s="19"/>
      <c r="D1" s="19"/>
      <c r="E1" s="19"/>
      <c r="F1" s="19"/>
    </row>
    <row r="2" spans="1:6" ht="20.25">
      <c r="A2" s="20" t="s">
        <v>0</v>
      </c>
      <c r="B2" s="19"/>
      <c r="C2" s="19"/>
      <c r="D2" s="19"/>
      <c r="E2" s="19"/>
      <c r="F2" s="19"/>
    </row>
    <row r="3" spans="1:6">
      <c r="A3" s="19"/>
      <c r="B3" s="19"/>
      <c r="C3" s="19"/>
      <c r="D3" s="19"/>
      <c r="E3" s="19"/>
      <c r="F3" s="19"/>
    </row>
    <row r="4" spans="1:6" ht="27.95" customHeight="1">
      <c r="A4" s="21" t="s">
        <v>1</v>
      </c>
      <c r="B4" s="25" t="s">
        <v>2</v>
      </c>
      <c r="C4" s="25" t="s">
        <v>3</v>
      </c>
      <c r="D4" s="19"/>
      <c r="E4" s="19"/>
      <c r="F4" s="19"/>
    </row>
    <row r="5" spans="1:6">
      <c r="A5" s="19" t="s">
        <v>4</v>
      </c>
      <c r="B5" s="26">
        <v>46300</v>
      </c>
      <c r="C5" s="26">
        <v>46300</v>
      </c>
      <c r="D5" s="19"/>
      <c r="E5" s="19"/>
      <c r="F5" s="19"/>
    </row>
    <row r="6" spans="1:6">
      <c r="A6" s="19" t="s">
        <v>5</v>
      </c>
      <c r="B6" s="26">
        <v>46357</v>
      </c>
      <c r="C6" s="26">
        <v>46418</v>
      </c>
      <c r="D6" s="19"/>
      <c r="E6" s="19"/>
      <c r="F6" s="19"/>
    </row>
    <row r="7" spans="1:6">
      <c r="A7" s="19" t="s">
        <v>6</v>
      </c>
      <c r="B7" s="27">
        <v>1</v>
      </c>
      <c r="C7" s="27">
        <v>2</v>
      </c>
      <c r="D7" s="19"/>
      <c r="E7" s="19"/>
      <c r="F7" s="19"/>
    </row>
    <row r="8" spans="1:6">
      <c r="A8" s="19" t="s">
        <v>7</v>
      </c>
      <c r="B8" s="28">
        <f>'Gantt A'!B4</f>
        <v>274</v>
      </c>
      <c r="C8" s="28">
        <f>'Gantt B'!B4</f>
        <v>550</v>
      </c>
      <c r="D8" s="19"/>
      <c r="E8" s="19"/>
      <c r="F8" s="19"/>
    </row>
    <row r="9" spans="1:6">
      <c r="A9" s="19" t="s">
        <v>8</v>
      </c>
      <c r="B9" s="28">
        <f>B8-B10</f>
        <v>248</v>
      </c>
      <c r="C9" s="28">
        <f>C8-C10</f>
        <v>492</v>
      </c>
      <c r="D9" s="19"/>
      <c r="E9" s="19"/>
      <c r="F9" s="19"/>
    </row>
    <row r="10" spans="1:6">
      <c r="A10" s="19" t="s">
        <v>9</v>
      </c>
      <c r="B10" s="28">
        <f>'Gantt A'!E4</f>
        <v>26</v>
      </c>
      <c r="C10" s="28">
        <f>'Gantt B'!E4</f>
        <v>58</v>
      </c>
      <c r="D10" s="19"/>
      <c r="E10" s="19"/>
      <c r="F10" s="19"/>
    </row>
    <row r="11" spans="1:6">
      <c r="A11" s="19" t="s">
        <v>10</v>
      </c>
      <c r="B11" s="28">
        <f>MAX('Gantt A'!H8:P8)</f>
        <v>38</v>
      </c>
      <c r="C11" s="28">
        <f>MAX('Gantt B'!H8:X8)</f>
        <v>36</v>
      </c>
      <c r="D11" s="19"/>
      <c r="E11" s="19"/>
      <c r="F11" s="19"/>
    </row>
    <row r="12" spans="1:6">
      <c r="A12" s="19" t="s">
        <v>11</v>
      </c>
      <c r="B12" s="29">
        <f>SUM('Gantt A'!H8:O8)/8</f>
        <v>33.25</v>
      </c>
      <c r="C12" s="29">
        <f>C8/17</f>
        <v>32.352941176470587</v>
      </c>
      <c r="D12" s="19"/>
      <c r="E12" s="19"/>
      <c r="F12" s="19"/>
    </row>
    <row r="13" spans="1:6">
      <c r="A13" s="19" t="s">
        <v>12</v>
      </c>
      <c r="B13" s="28">
        <f>B11</f>
        <v>38</v>
      </c>
      <c r="C13" s="28">
        <f>C11</f>
        <v>36</v>
      </c>
      <c r="D13" s="19"/>
      <c r="E13" s="19"/>
      <c r="F13" s="19"/>
    </row>
    <row r="14" spans="1:6">
      <c r="A14" s="19" t="s">
        <v>13</v>
      </c>
      <c r="B14" s="28">
        <f>B11/B7</f>
        <v>38</v>
      </c>
      <c r="C14" s="28">
        <f>C11/C7</f>
        <v>18</v>
      </c>
      <c r="D14" s="19"/>
      <c r="E14" s="19"/>
      <c r="F14" s="19"/>
    </row>
    <row r="15" spans="1:6">
      <c r="A15" s="19" t="s">
        <v>14</v>
      </c>
      <c r="B15" s="19">
        <f>B11</f>
        <v>38</v>
      </c>
      <c r="C15" s="19">
        <f>MAX('Gantt B'!H33:X34)</f>
        <v>33</v>
      </c>
      <c r="D15" s="19"/>
      <c r="E15" s="19"/>
      <c r="F15" s="19"/>
    </row>
    <row r="16" spans="1:6" ht="18">
      <c r="A16" s="22" t="s">
        <v>15</v>
      </c>
      <c r="B16" s="19"/>
      <c r="C16" s="19"/>
      <c r="D16" s="19"/>
      <c r="E16" s="19"/>
      <c r="F16" s="19"/>
    </row>
    <row r="17" spans="1:6" ht="42" customHeight="1">
      <c r="A17" s="23" t="s">
        <v>16</v>
      </c>
      <c r="B17" s="30" t="s">
        <v>17</v>
      </c>
      <c r="C17" s="30"/>
      <c r="D17" s="30"/>
      <c r="E17" s="30"/>
      <c r="F17" s="30"/>
    </row>
    <row r="18" spans="1:6" ht="42" customHeight="1">
      <c r="A18" s="19" t="s">
        <v>18</v>
      </c>
      <c r="B18" s="31" t="s">
        <v>19</v>
      </c>
      <c r="C18" s="31"/>
      <c r="D18" s="31"/>
      <c r="E18" s="31"/>
      <c r="F18" s="31"/>
    </row>
    <row r="19" spans="1:6" ht="42" customHeight="1">
      <c r="A19" s="23" t="s">
        <v>20</v>
      </c>
      <c r="B19" s="30" t="s">
        <v>21</v>
      </c>
      <c r="C19" s="30"/>
      <c r="D19" s="30"/>
      <c r="E19" s="30"/>
      <c r="F19" s="30"/>
    </row>
    <row r="20" spans="1:6" ht="42" customHeight="1">
      <c r="A20" s="19" t="s">
        <v>22</v>
      </c>
      <c r="B20" s="31" t="s">
        <v>23</v>
      </c>
      <c r="C20" s="31"/>
      <c r="D20" s="31"/>
      <c r="E20" s="31"/>
      <c r="F20" s="31"/>
    </row>
    <row r="21" spans="1:6" ht="42" customHeight="1">
      <c r="A21" s="23" t="s">
        <v>24</v>
      </c>
      <c r="B21" s="30" t="s">
        <v>25</v>
      </c>
      <c r="C21" s="30"/>
      <c r="D21" s="30"/>
      <c r="E21" s="30"/>
      <c r="F21" s="30"/>
    </row>
    <row r="22" spans="1:6" ht="42" customHeight="1">
      <c r="A22" s="19" t="s">
        <v>26</v>
      </c>
      <c r="B22" s="31" t="s">
        <v>27</v>
      </c>
      <c r="C22" s="31"/>
      <c r="D22" s="31"/>
      <c r="E22" s="31"/>
      <c r="F22" s="31"/>
    </row>
    <row r="23" spans="1:6" ht="42" customHeight="1">
      <c r="A23" s="23" t="s">
        <v>28</v>
      </c>
      <c r="B23" s="30" t="s">
        <v>29</v>
      </c>
      <c r="C23" s="30"/>
      <c r="D23" s="30"/>
      <c r="E23" s="30"/>
      <c r="F23" s="30"/>
    </row>
    <row r="24" spans="1:6" ht="42" customHeight="1">
      <c r="A24" s="19" t="s">
        <v>30</v>
      </c>
      <c r="B24" s="31" t="s">
        <v>31</v>
      </c>
      <c r="C24" s="31"/>
      <c r="D24" s="31"/>
      <c r="E24" s="31"/>
      <c r="F24" s="31"/>
    </row>
    <row r="25" spans="1:6" ht="42" customHeight="1">
      <c r="A25" s="23" t="s">
        <v>32</v>
      </c>
      <c r="B25" s="30" t="s">
        <v>33</v>
      </c>
      <c r="C25" s="30"/>
      <c r="D25" s="30"/>
      <c r="E25" s="30"/>
      <c r="F25" s="30"/>
    </row>
    <row r="26" spans="1:6" ht="42" customHeight="1">
      <c r="A26" s="19" t="s">
        <v>34</v>
      </c>
      <c r="B26" s="31" t="s">
        <v>35</v>
      </c>
      <c r="C26" s="31"/>
      <c r="D26" s="31"/>
      <c r="E26" s="31"/>
      <c r="F26" s="31"/>
    </row>
    <row r="27" spans="1:6" ht="42" customHeight="1">
      <c r="A27" s="23" t="s">
        <v>36</v>
      </c>
      <c r="B27" s="30" t="s">
        <v>37</v>
      </c>
      <c r="C27" s="30"/>
      <c r="D27" s="30"/>
      <c r="E27" s="30"/>
      <c r="F27" s="30"/>
    </row>
    <row r="28" spans="1:6" ht="42" customHeight="1">
      <c r="A28" s="19" t="s">
        <v>38</v>
      </c>
      <c r="B28" s="31" t="s">
        <v>39</v>
      </c>
      <c r="C28" s="31"/>
      <c r="D28" s="31"/>
      <c r="E28" s="31"/>
      <c r="F28" s="31"/>
    </row>
    <row r="29" spans="1:6" ht="42" customHeight="1">
      <c r="A29" s="23" t="s">
        <v>40</v>
      </c>
      <c r="B29" s="30" t="s">
        <v>41</v>
      </c>
      <c r="C29" s="30"/>
      <c r="D29" s="30"/>
      <c r="E29" s="30"/>
      <c r="F29" s="30"/>
    </row>
    <row r="30" spans="1:6" ht="42" customHeight="1">
      <c r="A30" s="19" t="s">
        <v>42</v>
      </c>
      <c r="B30" s="31" t="s">
        <v>43</v>
      </c>
      <c r="C30" s="31"/>
      <c r="D30" s="31"/>
      <c r="E30" s="31"/>
      <c r="F30" s="31"/>
    </row>
    <row r="31" spans="1:6" ht="42" customHeight="1">
      <c r="A31" s="23" t="s">
        <v>44</v>
      </c>
      <c r="B31" s="30" t="s">
        <v>45</v>
      </c>
      <c r="C31" s="30"/>
      <c r="D31" s="30"/>
      <c r="E31" s="30"/>
      <c r="F31" s="30"/>
    </row>
    <row r="32" spans="1:6" ht="42" customHeight="1">
      <c r="A32" s="19" t="s">
        <v>46</v>
      </c>
      <c r="B32" s="31" t="s">
        <v>47</v>
      </c>
      <c r="C32" s="31"/>
      <c r="D32" s="31"/>
      <c r="E32" s="31"/>
      <c r="F32" s="31"/>
    </row>
    <row r="33" spans="1:6" ht="42" customHeight="1">
      <c r="A33" s="23" t="s">
        <v>48</v>
      </c>
      <c r="B33" s="30" t="s">
        <v>49</v>
      </c>
      <c r="C33" s="30"/>
      <c r="D33" s="30"/>
      <c r="E33" s="30"/>
      <c r="F33" s="30"/>
    </row>
    <row r="34" spans="1:6" ht="42" customHeight="1">
      <c r="A34" s="19" t="s">
        <v>50</v>
      </c>
      <c r="B34" s="31" t="s">
        <v>51</v>
      </c>
      <c r="C34" s="31"/>
      <c r="D34" s="31"/>
      <c r="E34" s="31"/>
      <c r="F34" s="31"/>
    </row>
    <row r="35" spans="1:6" ht="42" customHeight="1">
      <c r="A35" s="23" t="s">
        <v>52</v>
      </c>
      <c r="B35" s="30" t="s">
        <v>53</v>
      </c>
      <c r="C35" s="30"/>
      <c r="D35" s="30"/>
      <c r="E35" s="30"/>
      <c r="F35" s="30"/>
    </row>
    <row r="36" spans="1:6" ht="42" customHeight="1">
      <c r="A36" s="19" t="s">
        <v>54</v>
      </c>
      <c r="B36" s="31" t="s">
        <v>55</v>
      </c>
      <c r="C36" s="31"/>
      <c r="D36" s="31"/>
      <c r="E36" s="31"/>
      <c r="F36" s="31"/>
    </row>
    <row r="37" spans="1:6" ht="42" customHeight="1">
      <c r="A37" s="24" t="s">
        <v>56</v>
      </c>
      <c r="B37" s="32" t="s">
        <v>57</v>
      </c>
      <c r="C37" s="32"/>
      <c r="D37" s="32"/>
      <c r="E37" s="32"/>
      <c r="F37" s="32"/>
    </row>
  </sheetData>
  <mergeCells count="21">
    <mergeCell ref="B37:F37"/>
    <mergeCell ref="B32:F32"/>
    <mergeCell ref="B33:F33"/>
    <mergeCell ref="B34:F34"/>
    <mergeCell ref="B35:F35"/>
    <mergeCell ref="B36:F36"/>
    <mergeCell ref="B27:F27"/>
    <mergeCell ref="B28:F28"/>
    <mergeCell ref="B29:F29"/>
    <mergeCell ref="B30:F30"/>
    <mergeCell ref="B31:F31"/>
    <mergeCell ref="B22:F22"/>
    <mergeCell ref="B23:F23"/>
    <mergeCell ref="B24:F24"/>
    <mergeCell ref="B25:F25"/>
    <mergeCell ref="B26:F26"/>
    <mergeCell ref="B17:F17"/>
    <mergeCell ref="B18:F18"/>
    <mergeCell ref="B19:F19"/>
    <mergeCell ref="B20:F20"/>
    <mergeCell ref="B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B7A"/>
  </sheetPr>
  <dimension ref="A1:P46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C13" sqref="C13"/>
    </sheetView>
  </sheetViews>
  <sheetFormatPr defaultRowHeight="14.25"/>
  <cols>
    <col min="1" max="1" width="29" customWidth="1"/>
    <col min="2" max="2" width="43" customWidth="1"/>
    <col min="3" max="3" width="13" customWidth="1"/>
    <col min="4" max="5" width="12" customWidth="1"/>
    <col min="6" max="6" width="30" customWidth="1"/>
    <col min="7" max="7" width="9" customWidth="1"/>
    <col min="8" max="16" width="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25">
      <c r="A2" s="2" t="s">
        <v>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59</v>
      </c>
      <c r="B4" s="1">
        <f>SUM(G13:G26)</f>
        <v>274</v>
      </c>
      <c r="C4" s="1"/>
      <c r="D4" s="1" t="s">
        <v>60</v>
      </c>
      <c r="E4" s="1">
        <f>G26</f>
        <v>26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1" t="s">
        <v>61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62</v>
      </c>
      <c r="B6" s="1"/>
      <c r="C6" s="1"/>
      <c r="D6" s="1"/>
      <c r="E6" s="1"/>
      <c r="F6" s="1"/>
      <c r="G6" s="1"/>
      <c r="H6" s="4">
        <v>46300</v>
      </c>
      <c r="I6" s="4">
        <v>46307</v>
      </c>
      <c r="J6" s="4">
        <v>46314</v>
      </c>
      <c r="K6" s="4">
        <v>46321</v>
      </c>
      <c r="L6" s="4">
        <v>46328</v>
      </c>
      <c r="M6" s="4">
        <v>46335</v>
      </c>
      <c r="N6" s="4">
        <v>46342</v>
      </c>
      <c r="O6" s="4">
        <v>46349</v>
      </c>
      <c r="P6" s="4">
        <v>46356</v>
      </c>
    </row>
    <row r="7" spans="1:16">
      <c r="A7" s="1" t="s">
        <v>63</v>
      </c>
      <c r="B7" s="1"/>
      <c r="C7" s="1"/>
      <c r="D7" s="1"/>
      <c r="E7" s="1"/>
      <c r="F7" s="1"/>
      <c r="G7" s="1"/>
      <c r="H7" s="4">
        <v>46306</v>
      </c>
      <c r="I7" s="4">
        <v>46313</v>
      </c>
      <c r="J7" s="4">
        <v>46320</v>
      </c>
      <c r="K7" s="4">
        <v>46327</v>
      </c>
      <c r="L7" s="4">
        <v>46334</v>
      </c>
      <c r="M7" s="4">
        <v>46341</v>
      </c>
      <c r="N7" s="4">
        <v>46348</v>
      </c>
      <c r="O7" s="4">
        <v>46355</v>
      </c>
      <c r="P7" s="4">
        <v>46357</v>
      </c>
    </row>
    <row r="8" spans="1:16">
      <c r="A8" s="1" t="s">
        <v>64</v>
      </c>
      <c r="B8" s="1"/>
      <c r="C8" s="1"/>
      <c r="D8" s="1"/>
      <c r="E8" s="1"/>
      <c r="F8" s="1"/>
      <c r="G8" s="1"/>
      <c r="H8" s="5">
        <f t="shared" ref="H8:P8" si="0">SUM(H13:H26)</f>
        <v>20</v>
      </c>
      <c r="I8" s="5">
        <f t="shared" si="0"/>
        <v>32</v>
      </c>
      <c r="J8" s="5">
        <f t="shared" si="0"/>
        <v>36</v>
      </c>
      <c r="K8" s="5">
        <f t="shared" si="0"/>
        <v>38</v>
      </c>
      <c r="L8" s="5">
        <f t="shared" si="0"/>
        <v>38</v>
      </c>
      <c r="M8" s="5">
        <f t="shared" si="0"/>
        <v>36</v>
      </c>
      <c r="N8" s="5">
        <f t="shared" si="0"/>
        <v>34</v>
      </c>
      <c r="O8" s="5">
        <f t="shared" si="0"/>
        <v>32</v>
      </c>
      <c r="P8" s="5">
        <f t="shared" si="0"/>
        <v>8</v>
      </c>
    </row>
    <row r="9" spans="1:16">
      <c r="A9" s="1" t="s">
        <v>65</v>
      </c>
      <c r="B9" s="1"/>
      <c r="C9" s="1"/>
      <c r="D9" s="1"/>
      <c r="E9" s="1"/>
      <c r="F9" s="1"/>
      <c r="G9" s="1"/>
      <c r="H9" s="6">
        <f t="shared" ref="H9:P9" si="1">H8-H10</f>
        <v>20</v>
      </c>
      <c r="I9" s="6">
        <f t="shared" si="1"/>
        <v>30</v>
      </c>
      <c r="J9" s="6">
        <f t="shared" si="1"/>
        <v>34</v>
      </c>
      <c r="K9" s="6">
        <f t="shared" si="1"/>
        <v>34</v>
      </c>
      <c r="L9" s="6">
        <f t="shared" si="1"/>
        <v>36</v>
      </c>
      <c r="M9" s="6">
        <f t="shared" si="1"/>
        <v>32</v>
      </c>
      <c r="N9" s="6">
        <f t="shared" si="1"/>
        <v>32</v>
      </c>
      <c r="O9" s="6">
        <f t="shared" si="1"/>
        <v>26</v>
      </c>
      <c r="P9" s="6">
        <f t="shared" si="1"/>
        <v>4</v>
      </c>
    </row>
    <row r="10" spans="1:16">
      <c r="A10" s="1" t="s">
        <v>60</v>
      </c>
      <c r="B10" s="1"/>
      <c r="C10" s="1"/>
      <c r="D10" s="1"/>
      <c r="E10" s="1"/>
      <c r="F10" s="1"/>
      <c r="G10" s="1"/>
      <c r="H10" s="6">
        <f t="shared" ref="H10:P10" si="2">H26</f>
        <v>0</v>
      </c>
      <c r="I10" s="6">
        <f t="shared" si="2"/>
        <v>2</v>
      </c>
      <c r="J10" s="6">
        <f t="shared" si="2"/>
        <v>2</v>
      </c>
      <c r="K10" s="6">
        <f t="shared" si="2"/>
        <v>4</v>
      </c>
      <c r="L10" s="6">
        <f t="shared" si="2"/>
        <v>2</v>
      </c>
      <c r="M10" s="6">
        <f t="shared" si="2"/>
        <v>4</v>
      </c>
      <c r="N10" s="6">
        <f t="shared" si="2"/>
        <v>2</v>
      </c>
      <c r="O10" s="6">
        <f t="shared" si="2"/>
        <v>6</v>
      </c>
      <c r="P10" s="6">
        <f t="shared" si="2"/>
        <v>4</v>
      </c>
    </row>
    <row r="11" spans="1:16">
      <c r="A11" s="1" t="s">
        <v>66</v>
      </c>
      <c r="B11" s="1"/>
      <c r="C11" s="1"/>
      <c r="D11" s="1"/>
      <c r="E11" s="1"/>
      <c r="F11" s="1"/>
      <c r="G11" s="1"/>
      <c r="H11" s="6">
        <f t="shared" ref="H11:P11" si="3">H8</f>
        <v>20</v>
      </c>
      <c r="I11" s="6">
        <f t="shared" si="3"/>
        <v>32</v>
      </c>
      <c r="J11" s="6">
        <f t="shared" si="3"/>
        <v>36</v>
      </c>
      <c r="K11" s="6">
        <f t="shared" si="3"/>
        <v>38</v>
      </c>
      <c r="L11" s="6">
        <f t="shared" si="3"/>
        <v>38</v>
      </c>
      <c r="M11" s="6">
        <f t="shared" si="3"/>
        <v>36</v>
      </c>
      <c r="N11" s="6">
        <f t="shared" si="3"/>
        <v>34</v>
      </c>
      <c r="O11" s="6">
        <f t="shared" si="3"/>
        <v>32</v>
      </c>
      <c r="P11" s="6">
        <f t="shared" si="3"/>
        <v>8</v>
      </c>
    </row>
    <row r="12" spans="1:16" ht="26.1" customHeight="1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46</v>
      </c>
      <c r="G12" s="3" t="s">
        <v>72</v>
      </c>
      <c r="H12" s="3" t="s">
        <v>73</v>
      </c>
      <c r="I12" s="3" t="s">
        <v>74</v>
      </c>
      <c r="J12" s="3" t="s">
        <v>75</v>
      </c>
      <c r="K12" s="3" t="s">
        <v>76</v>
      </c>
      <c r="L12" s="3" t="s">
        <v>77</v>
      </c>
      <c r="M12" s="3" t="s">
        <v>78</v>
      </c>
      <c r="N12" s="3" t="s">
        <v>79</v>
      </c>
      <c r="O12" s="3" t="s">
        <v>80</v>
      </c>
      <c r="P12" s="3" t="s">
        <v>81</v>
      </c>
    </row>
    <row r="13" spans="1:16" ht="27.95" customHeight="1">
      <c r="A13" s="7" t="s">
        <v>82</v>
      </c>
      <c r="B13" s="7" t="s">
        <v>83</v>
      </c>
      <c r="C13" s="7" t="s">
        <v>84</v>
      </c>
      <c r="D13" s="8">
        <v>46300</v>
      </c>
      <c r="E13" s="8">
        <v>46306</v>
      </c>
      <c r="F13" s="7" t="s">
        <v>85</v>
      </c>
      <c r="G13" s="7">
        <f t="shared" ref="G13:G26" si="4">SUM(H13:P13)</f>
        <v>20</v>
      </c>
      <c r="H13" s="10">
        <v>20</v>
      </c>
      <c r="I13" s="10"/>
      <c r="J13" s="10"/>
      <c r="K13" s="10"/>
      <c r="L13" s="10"/>
      <c r="M13" s="10"/>
      <c r="N13" s="10"/>
      <c r="O13" s="10"/>
      <c r="P13" s="10"/>
    </row>
    <row r="14" spans="1:16" ht="27.95" customHeight="1">
      <c r="A14" s="1" t="s">
        <v>86</v>
      </c>
      <c r="B14" s="1" t="s">
        <v>87</v>
      </c>
      <c r="C14" s="1" t="s">
        <v>84</v>
      </c>
      <c r="D14" s="9">
        <v>46307</v>
      </c>
      <c r="E14" s="9">
        <v>46313</v>
      </c>
      <c r="F14" s="1" t="s">
        <v>82</v>
      </c>
      <c r="G14" s="1">
        <f t="shared" si="4"/>
        <v>18</v>
      </c>
      <c r="H14" s="10"/>
      <c r="I14" s="10">
        <v>18</v>
      </c>
      <c r="J14" s="10"/>
      <c r="K14" s="10"/>
      <c r="L14" s="10"/>
      <c r="M14" s="10"/>
      <c r="N14" s="10"/>
      <c r="O14" s="10"/>
      <c r="P14" s="10"/>
    </row>
    <row r="15" spans="1:16" ht="27.95" customHeight="1">
      <c r="A15" s="7" t="s">
        <v>88</v>
      </c>
      <c r="B15" s="7" t="s">
        <v>89</v>
      </c>
      <c r="C15" s="7" t="s">
        <v>84</v>
      </c>
      <c r="D15" s="8">
        <v>46307</v>
      </c>
      <c r="E15" s="8">
        <v>46320</v>
      </c>
      <c r="F15" s="7" t="s">
        <v>90</v>
      </c>
      <c r="G15" s="7">
        <f t="shared" si="4"/>
        <v>16</v>
      </c>
      <c r="H15" s="10"/>
      <c r="I15" s="10">
        <v>8</v>
      </c>
      <c r="J15" s="10">
        <v>8</v>
      </c>
      <c r="K15" s="10"/>
      <c r="L15" s="10"/>
      <c r="M15" s="10"/>
      <c r="N15" s="10"/>
      <c r="O15" s="10"/>
      <c r="P15" s="10"/>
    </row>
    <row r="16" spans="1:16" ht="27.95" customHeight="1">
      <c r="A16" s="1" t="s">
        <v>91</v>
      </c>
      <c r="B16" s="1" t="s">
        <v>92</v>
      </c>
      <c r="C16" s="1" t="s">
        <v>84</v>
      </c>
      <c r="D16" s="9">
        <v>46314</v>
      </c>
      <c r="E16" s="9">
        <v>46320</v>
      </c>
      <c r="F16" s="1" t="s">
        <v>93</v>
      </c>
      <c r="G16" s="1">
        <f t="shared" si="4"/>
        <v>20</v>
      </c>
      <c r="H16" s="10"/>
      <c r="I16" s="10"/>
      <c r="J16" s="10">
        <v>20</v>
      </c>
      <c r="K16" s="10"/>
      <c r="L16" s="10"/>
      <c r="M16" s="10"/>
      <c r="N16" s="10"/>
      <c r="O16" s="10"/>
      <c r="P16" s="10"/>
    </row>
    <row r="17" spans="1:16" ht="27.95" customHeight="1">
      <c r="A17" s="7" t="s">
        <v>94</v>
      </c>
      <c r="B17" s="7" t="s">
        <v>95</v>
      </c>
      <c r="C17" s="7" t="s">
        <v>84</v>
      </c>
      <c r="D17" s="8">
        <v>46321</v>
      </c>
      <c r="E17" s="8">
        <v>46327</v>
      </c>
      <c r="F17" s="7" t="s">
        <v>91</v>
      </c>
      <c r="G17" s="7">
        <f t="shared" si="4"/>
        <v>26</v>
      </c>
      <c r="H17" s="10"/>
      <c r="I17" s="10"/>
      <c r="J17" s="10"/>
      <c r="K17" s="10">
        <v>26</v>
      </c>
      <c r="L17" s="10"/>
      <c r="M17" s="10"/>
      <c r="N17" s="10"/>
      <c r="O17" s="10"/>
      <c r="P17" s="10"/>
    </row>
    <row r="18" spans="1:16" ht="27.95" customHeight="1">
      <c r="A18" s="1" t="s">
        <v>96</v>
      </c>
      <c r="B18" s="1" t="s">
        <v>97</v>
      </c>
      <c r="C18" s="1" t="s">
        <v>84</v>
      </c>
      <c r="D18" s="9">
        <v>46328</v>
      </c>
      <c r="E18" s="9">
        <v>46334</v>
      </c>
      <c r="F18" s="1" t="s">
        <v>94</v>
      </c>
      <c r="G18" s="1">
        <f t="shared" si="4"/>
        <v>20</v>
      </c>
      <c r="H18" s="10"/>
      <c r="I18" s="10"/>
      <c r="J18" s="10"/>
      <c r="K18" s="10"/>
      <c r="L18" s="10">
        <v>20</v>
      </c>
      <c r="M18" s="10"/>
      <c r="N18" s="10"/>
      <c r="O18" s="10"/>
      <c r="P18" s="10"/>
    </row>
    <row r="19" spans="1:16" ht="27.95" customHeight="1">
      <c r="A19" s="7" t="s">
        <v>98</v>
      </c>
      <c r="B19" s="7" t="s">
        <v>99</v>
      </c>
      <c r="C19" s="7" t="s">
        <v>84</v>
      </c>
      <c r="D19" s="8">
        <v>46328</v>
      </c>
      <c r="E19" s="8">
        <v>46341</v>
      </c>
      <c r="F19" s="7" t="s">
        <v>100</v>
      </c>
      <c r="G19" s="7">
        <f t="shared" si="4"/>
        <v>16</v>
      </c>
      <c r="H19" s="10"/>
      <c r="I19" s="10"/>
      <c r="J19" s="10"/>
      <c r="K19" s="10"/>
      <c r="L19" s="10">
        <v>10</v>
      </c>
      <c r="M19" s="10">
        <v>6</v>
      </c>
      <c r="N19" s="10"/>
      <c r="O19" s="10"/>
      <c r="P19" s="10"/>
    </row>
    <row r="20" spans="1:16" ht="27.95" customHeight="1">
      <c r="A20" s="1" t="s">
        <v>101</v>
      </c>
      <c r="B20" s="1" t="s">
        <v>102</v>
      </c>
      <c r="C20" s="1" t="s">
        <v>84</v>
      </c>
      <c r="D20" s="9">
        <v>46335</v>
      </c>
      <c r="E20" s="9">
        <v>46348</v>
      </c>
      <c r="F20" s="1" t="s">
        <v>103</v>
      </c>
      <c r="G20" s="1">
        <f t="shared" si="4"/>
        <v>28</v>
      </c>
      <c r="H20" s="10"/>
      <c r="I20" s="10"/>
      <c r="J20" s="10"/>
      <c r="K20" s="10"/>
      <c r="L20" s="10"/>
      <c r="M20" s="10">
        <v>20</v>
      </c>
      <c r="N20" s="10">
        <v>8</v>
      </c>
      <c r="O20" s="10"/>
      <c r="P20" s="10"/>
    </row>
    <row r="21" spans="1:16" ht="27.95" customHeight="1">
      <c r="A21" s="7" t="s">
        <v>104</v>
      </c>
      <c r="B21" s="7" t="s">
        <v>105</v>
      </c>
      <c r="C21" s="7" t="s">
        <v>84</v>
      </c>
      <c r="D21" s="8">
        <v>46342</v>
      </c>
      <c r="E21" s="8">
        <v>46355</v>
      </c>
      <c r="F21" s="7" t="s">
        <v>106</v>
      </c>
      <c r="G21" s="7">
        <f t="shared" si="4"/>
        <v>18</v>
      </c>
      <c r="H21" s="10"/>
      <c r="I21" s="10"/>
      <c r="J21" s="10"/>
      <c r="K21" s="10"/>
      <c r="L21" s="10"/>
      <c r="M21" s="10"/>
      <c r="N21" s="10">
        <v>14</v>
      </c>
      <c r="O21" s="10">
        <v>4</v>
      </c>
      <c r="P21" s="10"/>
    </row>
    <row r="22" spans="1:16" ht="27.95" customHeight="1">
      <c r="A22" s="1" t="s">
        <v>107</v>
      </c>
      <c r="B22" s="1" t="s">
        <v>108</v>
      </c>
      <c r="C22" s="1" t="s">
        <v>84</v>
      </c>
      <c r="D22" s="9">
        <v>46342</v>
      </c>
      <c r="E22" s="9">
        <v>46355</v>
      </c>
      <c r="F22" s="1" t="s">
        <v>109</v>
      </c>
      <c r="G22" s="1">
        <f t="shared" si="4"/>
        <v>10</v>
      </c>
      <c r="H22" s="10"/>
      <c r="I22" s="10"/>
      <c r="J22" s="10"/>
      <c r="K22" s="10"/>
      <c r="L22" s="10"/>
      <c r="M22" s="10"/>
      <c r="N22" s="10">
        <v>6</v>
      </c>
      <c r="O22" s="10">
        <v>4</v>
      </c>
      <c r="P22" s="10"/>
    </row>
    <row r="23" spans="1:16" ht="27.95" customHeight="1">
      <c r="A23" s="7" t="s">
        <v>110</v>
      </c>
      <c r="B23" s="7" t="s">
        <v>111</v>
      </c>
      <c r="C23" s="7" t="s">
        <v>84</v>
      </c>
      <c r="D23" s="8">
        <v>46307</v>
      </c>
      <c r="E23" s="8">
        <v>46355</v>
      </c>
      <c r="F23" s="7" t="s">
        <v>112</v>
      </c>
      <c r="G23" s="7">
        <f t="shared" si="4"/>
        <v>26</v>
      </c>
      <c r="H23" s="10"/>
      <c r="I23" s="10">
        <v>2</v>
      </c>
      <c r="J23" s="10">
        <v>4</v>
      </c>
      <c r="K23" s="10">
        <v>6</v>
      </c>
      <c r="L23" s="10">
        <v>4</v>
      </c>
      <c r="M23" s="10">
        <v>4</v>
      </c>
      <c r="N23" s="10">
        <v>2</v>
      </c>
      <c r="O23" s="10">
        <v>4</v>
      </c>
      <c r="P23" s="10"/>
    </row>
    <row r="24" spans="1:16" ht="27.95" customHeight="1">
      <c r="A24" s="1" t="s">
        <v>113</v>
      </c>
      <c r="B24" s="1" t="s">
        <v>114</v>
      </c>
      <c r="C24" s="1" t="s">
        <v>84</v>
      </c>
      <c r="D24" s="9">
        <v>46307</v>
      </c>
      <c r="E24" s="9">
        <v>46355</v>
      </c>
      <c r="F24" s="1" t="s">
        <v>115</v>
      </c>
      <c r="G24" s="1">
        <f t="shared" si="4"/>
        <v>26</v>
      </c>
      <c r="H24" s="10"/>
      <c r="I24" s="10">
        <v>2</v>
      </c>
      <c r="J24" s="10">
        <v>2</v>
      </c>
      <c r="K24" s="10">
        <v>2</v>
      </c>
      <c r="L24" s="10">
        <v>2</v>
      </c>
      <c r="M24" s="10">
        <v>2</v>
      </c>
      <c r="N24" s="10">
        <v>2</v>
      </c>
      <c r="O24" s="10">
        <v>14</v>
      </c>
      <c r="P24" s="10"/>
    </row>
    <row r="25" spans="1:16" ht="27.95" customHeight="1">
      <c r="A25" s="7" t="s">
        <v>116</v>
      </c>
      <c r="B25" s="7" t="s">
        <v>117</v>
      </c>
      <c r="C25" s="7" t="s">
        <v>84</v>
      </c>
      <c r="D25" s="8">
        <v>46356</v>
      </c>
      <c r="E25" s="8">
        <v>46357</v>
      </c>
      <c r="F25" s="7" t="s">
        <v>118</v>
      </c>
      <c r="G25" s="7">
        <f t="shared" si="4"/>
        <v>4</v>
      </c>
      <c r="H25" s="10"/>
      <c r="I25" s="10"/>
      <c r="J25" s="10"/>
      <c r="K25" s="10"/>
      <c r="L25" s="10"/>
      <c r="M25" s="10"/>
      <c r="N25" s="10"/>
      <c r="O25" s="10"/>
      <c r="P25" s="10">
        <v>4</v>
      </c>
    </row>
    <row r="26" spans="1:16" ht="27.95" customHeight="1">
      <c r="A26" s="1" t="s">
        <v>119</v>
      </c>
      <c r="B26" s="1" t="s">
        <v>120</v>
      </c>
      <c r="C26" s="1" t="s">
        <v>84</v>
      </c>
      <c r="D26" s="9">
        <v>46307</v>
      </c>
      <c r="E26" s="9">
        <v>46357</v>
      </c>
      <c r="F26" s="1" t="s">
        <v>121</v>
      </c>
      <c r="G26" s="1">
        <f t="shared" si="4"/>
        <v>26</v>
      </c>
      <c r="H26" s="10"/>
      <c r="I26" s="10">
        <v>2</v>
      </c>
      <c r="J26" s="10">
        <v>2</v>
      </c>
      <c r="K26" s="10">
        <v>4</v>
      </c>
      <c r="L26" s="10">
        <v>2</v>
      </c>
      <c r="M26" s="10">
        <v>4</v>
      </c>
      <c r="N26" s="10">
        <v>2</v>
      </c>
      <c r="O26" s="10">
        <v>6</v>
      </c>
      <c r="P26" s="10">
        <v>4</v>
      </c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>
      <c r="A29" s="12" t="s">
        <v>122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30" customHeight="1">
      <c r="A30" s="1" t="s">
        <v>82</v>
      </c>
      <c r="B30" s="33" t="s">
        <v>123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</row>
    <row r="31" spans="1:16" ht="30" customHeight="1">
      <c r="A31" s="1" t="s">
        <v>86</v>
      </c>
      <c r="B31" s="33" t="s">
        <v>124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1:16" ht="30" customHeight="1">
      <c r="A32" s="1" t="s">
        <v>88</v>
      </c>
      <c r="B32" s="33" t="s">
        <v>125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1:16" ht="30" customHeight="1">
      <c r="A33" s="1" t="s">
        <v>91</v>
      </c>
      <c r="B33" s="33" t="s">
        <v>126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1:16" ht="30" customHeight="1">
      <c r="A34" s="1" t="s">
        <v>94</v>
      </c>
      <c r="B34" s="33" t="s">
        <v>127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16" ht="30" customHeight="1">
      <c r="A35" s="1" t="s">
        <v>96</v>
      </c>
      <c r="B35" s="33" t="s">
        <v>128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1:16" ht="30" customHeight="1">
      <c r="A36" s="1" t="s">
        <v>98</v>
      </c>
      <c r="B36" s="33" t="s">
        <v>129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 spans="1:16" ht="30" customHeight="1">
      <c r="A37" s="1" t="s">
        <v>101</v>
      </c>
      <c r="B37" s="33" t="s">
        <v>130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38" spans="1:16" ht="30" customHeight="1">
      <c r="A38" s="1" t="s">
        <v>104</v>
      </c>
      <c r="B38" s="33" t="s">
        <v>131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</row>
    <row r="39" spans="1:16" ht="30" customHeight="1">
      <c r="A39" s="1" t="s">
        <v>107</v>
      </c>
      <c r="B39" s="33" t="s">
        <v>132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</row>
    <row r="40" spans="1:16" ht="30" customHeight="1">
      <c r="A40" s="1" t="s">
        <v>110</v>
      </c>
      <c r="B40" s="33" t="s">
        <v>133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</row>
    <row r="41" spans="1:16" ht="30" customHeight="1">
      <c r="A41" s="1" t="s">
        <v>113</v>
      </c>
      <c r="B41" s="33" t="s">
        <v>134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spans="1:16" ht="30" customHeight="1">
      <c r="A42" s="1" t="s">
        <v>116</v>
      </c>
      <c r="B42" s="33" t="s">
        <v>135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</row>
    <row r="43" spans="1:16" ht="30" customHeight="1">
      <c r="A43" s="1" t="s">
        <v>119</v>
      </c>
      <c r="B43" s="33" t="s">
        <v>136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</sheetData>
  <mergeCells count="14">
    <mergeCell ref="B40:P40"/>
    <mergeCell ref="B41:P41"/>
    <mergeCell ref="B42:P42"/>
    <mergeCell ref="B43:P43"/>
    <mergeCell ref="B35:P35"/>
    <mergeCell ref="B36:P36"/>
    <mergeCell ref="B37:P37"/>
    <mergeCell ref="B38:P38"/>
    <mergeCell ref="B39:P39"/>
    <mergeCell ref="B30:P30"/>
    <mergeCell ref="B31:P31"/>
    <mergeCell ref="B32:P32"/>
    <mergeCell ref="B33:P33"/>
    <mergeCell ref="B34:P34"/>
  </mergeCells>
  <conditionalFormatting sqref="H8:P8">
    <cfRule type="cellIs" dxfId="5" priority="3" operator="greaterThan">
      <formula>40</formula>
    </cfRule>
  </conditionalFormatting>
  <conditionalFormatting sqref="H13:P25">
    <cfRule type="cellIs" dxfId="4" priority="1" operator="greaterThan">
      <formula>0</formula>
    </cfRule>
  </conditionalFormatting>
  <conditionalFormatting sqref="H26:P26">
    <cfRule type="cellIs" dxfId="3" priority="2" operator="greaterThan">
      <formula>0</formula>
    </cfRule>
  </conditionalFormatting>
  <dataValidations count="1">
    <dataValidation type="whole" sqref="H13:P26" xr:uid="{00000000-0002-0000-0100-000000000000}">
      <formula1>0</formula1>
      <formula2>40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85F49"/>
  </sheetPr>
  <dimension ref="A1:X55"/>
  <sheetViews>
    <sheetView showGridLines="0" tabSelected="1" workbookViewId="0">
      <pane xSplit="2" ySplit="12" topLeftCell="C32" activePane="bottomRight" state="frozen"/>
      <selection pane="topRight"/>
      <selection pane="bottomLeft"/>
      <selection pane="bottomRight" activeCell="B1" sqref="B1:B1048576"/>
    </sheetView>
  </sheetViews>
  <sheetFormatPr defaultRowHeight="14.25"/>
  <cols>
    <col min="1" max="1" width="19.75" customWidth="1"/>
    <col min="2" max="2" width="43" style="46" customWidth="1"/>
    <col min="3" max="3" width="13" style="37" customWidth="1"/>
    <col min="4" max="5" width="12" customWidth="1"/>
    <col min="6" max="6" width="30" style="37" customWidth="1"/>
    <col min="7" max="7" width="9" customWidth="1"/>
    <col min="8" max="24" width="8" customWidth="1"/>
  </cols>
  <sheetData>
    <row r="1" spans="1:24">
      <c r="A1" s="1"/>
      <c r="B1" s="42"/>
      <c r="C1" s="34"/>
      <c r="D1" s="1"/>
      <c r="E1" s="1"/>
      <c r="F1" s="3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>
      <c r="A2" s="13" t="s">
        <v>137</v>
      </c>
      <c r="B2" s="42"/>
      <c r="C2" s="34"/>
      <c r="D2" s="1"/>
      <c r="E2" s="1"/>
      <c r="F2" s="3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1"/>
      <c r="B3" s="42"/>
      <c r="C3" s="34"/>
      <c r="D3" s="1"/>
      <c r="E3" s="1"/>
      <c r="F3" s="3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1" t="s">
        <v>59</v>
      </c>
      <c r="B4" s="42">
        <f>SUM(G13:G32)</f>
        <v>550</v>
      </c>
      <c r="C4" s="34"/>
      <c r="D4" s="1" t="s">
        <v>60</v>
      </c>
      <c r="E4" s="1">
        <f>G32</f>
        <v>58</v>
      </c>
      <c r="F4" s="3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11" t="s">
        <v>61</v>
      </c>
      <c r="B5" s="42"/>
      <c r="C5" s="34"/>
      <c r="D5" s="1"/>
      <c r="E5" s="1"/>
      <c r="F5" s="3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 t="s">
        <v>62</v>
      </c>
      <c r="B6" s="42"/>
      <c r="C6" s="34"/>
      <c r="D6" s="1"/>
      <c r="E6" s="1"/>
      <c r="F6" s="34"/>
      <c r="G6" s="1"/>
      <c r="H6" s="4">
        <v>46300</v>
      </c>
      <c r="I6" s="4">
        <v>46307</v>
      </c>
      <c r="J6" s="4">
        <v>46314</v>
      </c>
      <c r="K6" s="4">
        <v>46321</v>
      </c>
      <c r="L6" s="4">
        <v>46328</v>
      </c>
      <c r="M6" s="4">
        <v>46335</v>
      </c>
      <c r="N6" s="4">
        <v>46342</v>
      </c>
      <c r="O6" s="4">
        <v>46349</v>
      </c>
      <c r="P6" s="4">
        <v>46356</v>
      </c>
      <c r="Q6" s="4">
        <v>46363</v>
      </c>
      <c r="R6" s="4">
        <v>46370</v>
      </c>
      <c r="S6" s="4">
        <v>46377</v>
      </c>
      <c r="T6" s="4">
        <v>46384</v>
      </c>
      <c r="U6" s="4">
        <v>46391</v>
      </c>
      <c r="V6" s="4">
        <v>46398</v>
      </c>
      <c r="W6" s="4">
        <v>46405</v>
      </c>
      <c r="X6" s="4">
        <v>46412</v>
      </c>
    </row>
    <row r="7" spans="1:24">
      <c r="A7" s="1" t="s">
        <v>63</v>
      </c>
      <c r="B7" s="42"/>
      <c r="C7" s="34"/>
      <c r="D7" s="1"/>
      <c r="E7" s="1"/>
      <c r="F7" s="34"/>
      <c r="G7" s="1"/>
      <c r="H7" s="4">
        <v>46306</v>
      </c>
      <c r="I7" s="4">
        <v>46313</v>
      </c>
      <c r="J7" s="4">
        <v>46320</v>
      </c>
      <c r="K7" s="4">
        <v>46327</v>
      </c>
      <c r="L7" s="4">
        <v>46334</v>
      </c>
      <c r="M7" s="4">
        <v>46341</v>
      </c>
      <c r="N7" s="4">
        <v>46348</v>
      </c>
      <c r="O7" s="4">
        <v>46355</v>
      </c>
      <c r="P7" s="4">
        <v>46362</v>
      </c>
      <c r="Q7" s="4">
        <v>46369</v>
      </c>
      <c r="R7" s="4">
        <v>46376</v>
      </c>
      <c r="S7" s="4">
        <v>46383</v>
      </c>
      <c r="T7" s="4">
        <v>46390</v>
      </c>
      <c r="U7" s="4">
        <v>46397</v>
      </c>
      <c r="V7" s="4">
        <v>46404</v>
      </c>
      <c r="W7" s="4">
        <v>46411</v>
      </c>
      <c r="X7" s="4">
        <v>46418</v>
      </c>
    </row>
    <row r="8" spans="1:24">
      <c r="A8" s="1" t="s">
        <v>64</v>
      </c>
      <c r="B8" s="42"/>
      <c r="C8" s="34"/>
      <c r="D8" s="1"/>
      <c r="E8" s="1"/>
      <c r="F8" s="34"/>
      <c r="G8" s="1"/>
      <c r="H8" s="5">
        <f t="shared" ref="H8:X8" si="0">SUM(H13:H32)</f>
        <v>20</v>
      </c>
      <c r="I8" s="5">
        <f t="shared" si="0"/>
        <v>32</v>
      </c>
      <c r="J8" s="5">
        <f t="shared" si="0"/>
        <v>34</v>
      </c>
      <c r="K8" s="5">
        <f t="shared" si="0"/>
        <v>36</v>
      </c>
      <c r="L8" s="5">
        <f t="shared" si="0"/>
        <v>36</v>
      </c>
      <c r="M8" s="5">
        <f t="shared" si="0"/>
        <v>36</v>
      </c>
      <c r="N8" s="5">
        <f t="shared" si="0"/>
        <v>36</v>
      </c>
      <c r="O8" s="5">
        <f t="shared" si="0"/>
        <v>36</v>
      </c>
      <c r="P8" s="5">
        <f t="shared" si="0"/>
        <v>36</v>
      </c>
      <c r="Q8" s="5">
        <f t="shared" si="0"/>
        <v>36</v>
      </c>
      <c r="R8" s="5">
        <f t="shared" si="0"/>
        <v>36</v>
      </c>
      <c r="S8" s="5">
        <f t="shared" si="0"/>
        <v>32</v>
      </c>
      <c r="T8" s="5">
        <f t="shared" si="0"/>
        <v>16</v>
      </c>
      <c r="U8" s="5">
        <f t="shared" si="0"/>
        <v>24</v>
      </c>
      <c r="V8" s="5">
        <f t="shared" si="0"/>
        <v>36</v>
      </c>
      <c r="W8" s="5">
        <f t="shared" si="0"/>
        <v>36</v>
      </c>
      <c r="X8" s="5">
        <f t="shared" si="0"/>
        <v>32</v>
      </c>
    </row>
    <row r="9" spans="1:24">
      <c r="A9" s="1" t="s">
        <v>65</v>
      </c>
      <c r="B9" s="42"/>
      <c r="C9" s="34"/>
      <c r="D9" s="1"/>
      <c r="E9" s="1"/>
      <c r="F9" s="34"/>
      <c r="G9" s="1"/>
      <c r="H9" s="6">
        <f t="shared" ref="H9:X9" si="1">H8-H10</f>
        <v>20</v>
      </c>
      <c r="I9" s="6">
        <f t="shared" si="1"/>
        <v>30</v>
      </c>
      <c r="J9" s="6">
        <f t="shared" si="1"/>
        <v>32</v>
      </c>
      <c r="K9" s="6">
        <f t="shared" si="1"/>
        <v>34</v>
      </c>
      <c r="L9" s="6">
        <f t="shared" si="1"/>
        <v>34</v>
      </c>
      <c r="M9" s="6">
        <f t="shared" si="1"/>
        <v>34</v>
      </c>
      <c r="N9" s="6">
        <f t="shared" si="1"/>
        <v>32</v>
      </c>
      <c r="O9" s="6">
        <f t="shared" si="1"/>
        <v>34</v>
      </c>
      <c r="P9" s="6">
        <f t="shared" si="1"/>
        <v>32</v>
      </c>
      <c r="Q9" s="6">
        <f t="shared" si="1"/>
        <v>32</v>
      </c>
      <c r="R9" s="6">
        <f t="shared" si="1"/>
        <v>32</v>
      </c>
      <c r="S9" s="6">
        <f t="shared" si="1"/>
        <v>28</v>
      </c>
      <c r="T9" s="6">
        <f t="shared" si="1"/>
        <v>12</v>
      </c>
      <c r="U9" s="6">
        <f t="shared" si="1"/>
        <v>20</v>
      </c>
      <c r="V9" s="6">
        <f t="shared" si="1"/>
        <v>30</v>
      </c>
      <c r="W9" s="6">
        <f t="shared" si="1"/>
        <v>30</v>
      </c>
      <c r="X9" s="6">
        <f t="shared" si="1"/>
        <v>26</v>
      </c>
    </row>
    <row r="10" spans="1:24">
      <c r="A10" s="1" t="s">
        <v>60</v>
      </c>
      <c r="B10" s="42"/>
      <c r="C10" s="34"/>
      <c r="D10" s="1"/>
      <c r="E10" s="1"/>
      <c r="F10" s="34"/>
      <c r="G10" s="1"/>
      <c r="H10" s="6">
        <f t="shared" ref="H10:X10" si="2">H32</f>
        <v>0</v>
      </c>
      <c r="I10" s="6">
        <f t="shared" si="2"/>
        <v>2</v>
      </c>
      <c r="J10" s="6">
        <f t="shared" si="2"/>
        <v>2</v>
      </c>
      <c r="K10" s="6">
        <f t="shared" si="2"/>
        <v>2</v>
      </c>
      <c r="L10" s="6">
        <f t="shared" si="2"/>
        <v>2</v>
      </c>
      <c r="M10" s="6">
        <f t="shared" si="2"/>
        <v>2</v>
      </c>
      <c r="N10" s="6">
        <f t="shared" si="2"/>
        <v>4</v>
      </c>
      <c r="O10" s="6">
        <f t="shared" si="2"/>
        <v>2</v>
      </c>
      <c r="P10" s="6">
        <f t="shared" si="2"/>
        <v>4</v>
      </c>
      <c r="Q10" s="6">
        <f t="shared" si="2"/>
        <v>4</v>
      </c>
      <c r="R10" s="6">
        <f t="shared" si="2"/>
        <v>4</v>
      </c>
      <c r="S10" s="6">
        <f t="shared" si="2"/>
        <v>4</v>
      </c>
      <c r="T10" s="6">
        <f t="shared" si="2"/>
        <v>4</v>
      </c>
      <c r="U10" s="6">
        <f t="shared" si="2"/>
        <v>4</v>
      </c>
      <c r="V10" s="6">
        <f t="shared" si="2"/>
        <v>6</v>
      </c>
      <c r="W10" s="6">
        <f t="shared" si="2"/>
        <v>6</v>
      </c>
      <c r="X10" s="6">
        <f t="shared" si="2"/>
        <v>6</v>
      </c>
    </row>
    <row r="11" spans="1:24">
      <c r="A11" s="1" t="s">
        <v>138</v>
      </c>
      <c r="B11" s="42"/>
      <c r="C11" s="34"/>
      <c r="D11" s="1"/>
      <c r="E11" s="1"/>
      <c r="F11" s="34"/>
      <c r="G11" s="1"/>
      <c r="H11" s="6">
        <f t="shared" ref="H11:X11" si="3">H8/2</f>
        <v>10</v>
      </c>
      <c r="I11" s="6">
        <f t="shared" si="3"/>
        <v>16</v>
      </c>
      <c r="J11" s="6">
        <f t="shared" si="3"/>
        <v>17</v>
      </c>
      <c r="K11" s="6">
        <f t="shared" si="3"/>
        <v>18</v>
      </c>
      <c r="L11" s="6">
        <f t="shared" si="3"/>
        <v>18</v>
      </c>
      <c r="M11" s="6">
        <f t="shared" si="3"/>
        <v>18</v>
      </c>
      <c r="N11" s="6">
        <f t="shared" si="3"/>
        <v>18</v>
      </c>
      <c r="O11" s="6">
        <f t="shared" si="3"/>
        <v>18</v>
      </c>
      <c r="P11" s="6">
        <f t="shared" si="3"/>
        <v>18</v>
      </c>
      <c r="Q11" s="6">
        <f t="shared" si="3"/>
        <v>18</v>
      </c>
      <c r="R11" s="6">
        <f t="shared" si="3"/>
        <v>18</v>
      </c>
      <c r="S11" s="6">
        <f t="shared" si="3"/>
        <v>16</v>
      </c>
      <c r="T11" s="6">
        <f t="shared" si="3"/>
        <v>8</v>
      </c>
      <c r="U11" s="6">
        <f t="shared" si="3"/>
        <v>12</v>
      </c>
      <c r="V11" s="6">
        <f t="shared" si="3"/>
        <v>18</v>
      </c>
      <c r="W11" s="6">
        <f t="shared" si="3"/>
        <v>18</v>
      </c>
      <c r="X11" s="6">
        <f t="shared" si="3"/>
        <v>16</v>
      </c>
    </row>
    <row r="12" spans="1:24" ht="26.1" customHeight="1">
      <c r="A12" s="14" t="s">
        <v>67</v>
      </c>
      <c r="B12" s="43" t="s">
        <v>68</v>
      </c>
      <c r="C12" s="14" t="s">
        <v>69</v>
      </c>
      <c r="D12" s="14" t="s">
        <v>70</v>
      </c>
      <c r="E12" s="14" t="s">
        <v>71</v>
      </c>
      <c r="F12" s="14" t="s">
        <v>46</v>
      </c>
      <c r="G12" s="14" t="s">
        <v>72</v>
      </c>
      <c r="H12" s="14" t="s">
        <v>73</v>
      </c>
      <c r="I12" s="14" t="s">
        <v>74</v>
      </c>
      <c r="J12" s="14" t="s">
        <v>75</v>
      </c>
      <c r="K12" s="14" t="s">
        <v>76</v>
      </c>
      <c r="L12" s="14" t="s">
        <v>77</v>
      </c>
      <c r="M12" s="14" t="s">
        <v>78</v>
      </c>
      <c r="N12" s="14" t="s">
        <v>79</v>
      </c>
      <c r="O12" s="14" t="s">
        <v>80</v>
      </c>
      <c r="P12" s="14" t="s">
        <v>81</v>
      </c>
      <c r="Q12" s="14" t="s">
        <v>139</v>
      </c>
      <c r="R12" s="14" t="s">
        <v>140</v>
      </c>
      <c r="S12" s="14" t="s">
        <v>141</v>
      </c>
      <c r="T12" s="14" t="s">
        <v>142</v>
      </c>
      <c r="U12" s="14" t="s">
        <v>143</v>
      </c>
      <c r="V12" s="14" t="s">
        <v>144</v>
      </c>
      <c r="W12" s="14" t="s">
        <v>145</v>
      </c>
      <c r="X12" s="14" t="s">
        <v>146</v>
      </c>
    </row>
    <row r="13" spans="1:24" ht="27.95" customHeight="1">
      <c r="A13" s="7" t="s">
        <v>147</v>
      </c>
      <c r="B13" s="44" t="s">
        <v>148</v>
      </c>
      <c r="C13" s="35" t="s">
        <v>149</v>
      </c>
      <c r="D13" s="8">
        <v>46300</v>
      </c>
      <c r="E13" s="8">
        <v>46306</v>
      </c>
      <c r="F13" s="35" t="s">
        <v>85</v>
      </c>
      <c r="G13" s="7">
        <f t="shared" ref="G13:G32" si="4">SUM(H13:X13)</f>
        <v>20</v>
      </c>
      <c r="H13" s="15">
        <v>20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spans="1:24" ht="27.95" customHeight="1">
      <c r="A14" s="1" t="s">
        <v>150</v>
      </c>
      <c r="B14" s="42" t="s">
        <v>151</v>
      </c>
      <c r="C14" s="34" t="s">
        <v>152</v>
      </c>
      <c r="D14" s="9">
        <v>46307</v>
      </c>
      <c r="E14" s="9">
        <v>46313</v>
      </c>
      <c r="F14" s="34" t="s">
        <v>147</v>
      </c>
      <c r="G14" s="1">
        <f t="shared" si="4"/>
        <v>18</v>
      </c>
      <c r="H14" s="15"/>
      <c r="I14" s="15">
        <v>18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spans="1:24" ht="27.95" customHeight="1">
      <c r="A15" s="7" t="s">
        <v>153</v>
      </c>
      <c r="B15" s="44" t="s">
        <v>154</v>
      </c>
      <c r="C15" s="35" t="s">
        <v>149</v>
      </c>
      <c r="D15" s="8">
        <v>46307</v>
      </c>
      <c r="E15" s="8">
        <v>46320</v>
      </c>
      <c r="F15" s="35" t="s">
        <v>155</v>
      </c>
      <c r="G15" s="7">
        <f t="shared" si="4"/>
        <v>16</v>
      </c>
      <c r="H15" s="15"/>
      <c r="I15" s="15">
        <v>8</v>
      </c>
      <c r="J15" s="15">
        <v>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ht="27.95" customHeight="1">
      <c r="A16" s="1" t="s">
        <v>156</v>
      </c>
      <c r="B16" s="42" t="s">
        <v>157</v>
      </c>
      <c r="C16" s="34" t="s">
        <v>152</v>
      </c>
      <c r="D16" s="9">
        <v>46314</v>
      </c>
      <c r="E16" s="9">
        <v>46320</v>
      </c>
      <c r="F16" s="34" t="s">
        <v>158</v>
      </c>
      <c r="G16" s="1">
        <f t="shared" si="4"/>
        <v>20</v>
      </c>
      <c r="H16" s="15"/>
      <c r="I16" s="15"/>
      <c r="J16" s="15">
        <v>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 ht="27.95" customHeight="1">
      <c r="A17" s="7" t="s">
        <v>159</v>
      </c>
      <c r="B17" s="44" t="s">
        <v>160</v>
      </c>
      <c r="C17" s="35" t="s">
        <v>152</v>
      </c>
      <c r="D17" s="8">
        <v>46321</v>
      </c>
      <c r="E17" s="8">
        <v>46327</v>
      </c>
      <c r="F17" s="35" t="s">
        <v>156</v>
      </c>
      <c r="G17" s="7">
        <f t="shared" si="4"/>
        <v>26</v>
      </c>
      <c r="H17" s="15"/>
      <c r="I17" s="15"/>
      <c r="J17" s="15"/>
      <c r="K17" s="15">
        <v>26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ht="27.95" customHeight="1">
      <c r="A18" s="1" t="s">
        <v>161</v>
      </c>
      <c r="B18" s="42" t="s">
        <v>97</v>
      </c>
      <c r="C18" s="34" t="s">
        <v>152</v>
      </c>
      <c r="D18" s="9">
        <v>46328</v>
      </c>
      <c r="E18" s="9">
        <v>46334</v>
      </c>
      <c r="F18" s="34" t="s">
        <v>159</v>
      </c>
      <c r="G18" s="1">
        <f t="shared" si="4"/>
        <v>20</v>
      </c>
      <c r="H18" s="15"/>
      <c r="I18" s="15"/>
      <c r="J18" s="15"/>
      <c r="K18" s="15"/>
      <c r="L18" s="15">
        <v>20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 ht="27.95" customHeight="1">
      <c r="A19" s="7" t="s">
        <v>162</v>
      </c>
      <c r="B19" s="44" t="s">
        <v>163</v>
      </c>
      <c r="C19" s="35" t="s">
        <v>164</v>
      </c>
      <c r="D19" s="8">
        <v>46328</v>
      </c>
      <c r="E19" s="8">
        <v>46341</v>
      </c>
      <c r="F19" s="35" t="s">
        <v>165</v>
      </c>
      <c r="G19" s="7">
        <f t="shared" si="4"/>
        <v>22</v>
      </c>
      <c r="H19" s="15"/>
      <c r="I19" s="15"/>
      <c r="J19" s="15"/>
      <c r="K19" s="15"/>
      <c r="L19" s="15">
        <v>10</v>
      </c>
      <c r="M19" s="15">
        <v>12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 ht="27.95" customHeight="1">
      <c r="A20" s="1" t="s">
        <v>166</v>
      </c>
      <c r="B20" s="42" t="s">
        <v>167</v>
      </c>
      <c r="C20" s="34" t="s">
        <v>164</v>
      </c>
      <c r="D20" s="9">
        <v>46321</v>
      </c>
      <c r="E20" s="9">
        <v>46355</v>
      </c>
      <c r="F20" s="34" t="s">
        <v>168</v>
      </c>
      <c r="G20" s="1">
        <f t="shared" si="4"/>
        <v>50</v>
      </c>
      <c r="H20" s="15"/>
      <c r="I20" s="15"/>
      <c r="J20" s="15"/>
      <c r="K20" s="15">
        <v>4</v>
      </c>
      <c r="L20" s="15"/>
      <c r="M20" s="15">
        <v>18</v>
      </c>
      <c r="N20" s="15">
        <v>20</v>
      </c>
      <c r="O20" s="15">
        <v>8</v>
      </c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27.95" customHeight="1">
      <c r="A21" s="7" t="s">
        <v>169</v>
      </c>
      <c r="B21" s="44" t="s">
        <v>170</v>
      </c>
      <c r="C21" s="35" t="s">
        <v>152</v>
      </c>
      <c r="D21" s="8">
        <v>46342</v>
      </c>
      <c r="E21" s="8">
        <v>46355</v>
      </c>
      <c r="F21" s="35" t="s">
        <v>171</v>
      </c>
      <c r="G21" s="7">
        <f t="shared" si="4"/>
        <v>24</v>
      </c>
      <c r="H21" s="15"/>
      <c r="I21" s="15"/>
      <c r="J21" s="15"/>
      <c r="K21" s="15"/>
      <c r="L21" s="15"/>
      <c r="M21" s="15"/>
      <c r="N21" s="15">
        <v>8</v>
      </c>
      <c r="O21" s="15">
        <v>16</v>
      </c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27.95" customHeight="1">
      <c r="A22" s="1" t="s">
        <v>172</v>
      </c>
      <c r="B22" s="42" t="s">
        <v>173</v>
      </c>
      <c r="C22" s="34" t="s">
        <v>152</v>
      </c>
      <c r="D22" s="9">
        <v>46356</v>
      </c>
      <c r="E22" s="9">
        <v>46369</v>
      </c>
      <c r="F22" s="34" t="s">
        <v>169</v>
      </c>
      <c r="G22" s="1">
        <f t="shared" si="4"/>
        <v>30</v>
      </c>
      <c r="H22" s="15"/>
      <c r="I22" s="15"/>
      <c r="J22" s="15"/>
      <c r="K22" s="15"/>
      <c r="L22" s="15"/>
      <c r="M22" s="15"/>
      <c r="N22" s="15"/>
      <c r="O22" s="15"/>
      <c r="P22" s="15">
        <v>18</v>
      </c>
      <c r="Q22" s="15">
        <v>12</v>
      </c>
      <c r="R22" s="15"/>
      <c r="S22" s="15"/>
      <c r="T22" s="15"/>
      <c r="U22" s="15"/>
      <c r="V22" s="15"/>
      <c r="W22" s="15"/>
      <c r="X22" s="15"/>
    </row>
    <row r="23" spans="1:24" ht="27.95" customHeight="1">
      <c r="A23" s="7" t="s">
        <v>174</v>
      </c>
      <c r="B23" s="44" t="s">
        <v>175</v>
      </c>
      <c r="C23" s="35" t="s">
        <v>152</v>
      </c>
      <c r="D23" s="8">
        <v>46356</v>
      </c>
      <c r="E23" s="8">
        <v>46369</v>
      </c>
      <c r="F23" s="35" t="s">
        <v>176</v>
      </c>
      <c r="G23" s="7">
        <f t="shared" si="4"/>
        <v>14</v>
      </c>
      <c r="H23" s="15"/>
      <c r="I23" s="15"/>
      <c r="J23" s="15"/>
      <c r="K23" s="15"/>
      <c r="L23" s="15"/>
      <c r="M23" s="15"/>
      <c r="N23" s="15"/>
      <c r="O23" s="15"/>
      <c r="P23" s="15">
        <v>10</v>
      </c>
      <c r="Q23" s="15">
        <v>4</v>
      </c>
      <c r="R23" s="15"/>
      <c r="S23" s="15"/>
      <c r="T23" s="15"/>
      <c r="U23" s="15"/>
      <c r="V23" s="15"/>
      <c r="W23" s="15"/>
      <c r="X23" s="15"/>
    </row>
    <row r="24" spans="1:24" ht="27.95" customHeight="1">
      <c r="A24" s="1" t="s">
        <v>177</v>
      </c>
      <c r="B24" s="42" t="s">
        <v>178</v>
      </c>
      <c r="C24" s="34" t="s">
        <v>164</v>
      </c>
      <c r="D24" s="9">
        <v>46363</v>
      </c>
      <c r="E24" s="9">
        <v>46376</v>
      </c>
      <c r="F24" s="34" t="s">
        <v>179</v>
      </c>
      <c r="G24" s="1">
        <f t="shared" si="4"/>
        <v>32</v>
      </c>
      <c r="H24" s="15"/>
      <c r="I24" s="15"/>
      <c r="J24" s="15"/>
      <c r="K24" s="15"/>
      <c r="L24" s="15"/>
      <c r="M24" s="15"/>
      <c r="N24" s="15"/>
      <c r="O24" s="15"/>
      <c r="P24" s="15"/>
      <c r="Q24" s="15">
        <v>12</v>
      </c>
      <c r="R24" s="15">
        <v>20</v>
      </c>
      <c r="S24" s="15"/>
      <c r="T24" s="15"/>
      <c r="U24" s="15"/>
      <c r="V24" s="15"/>
      <c r="W24" s="15"/>
      <c r="X24" s="15"/>
    </row>
    <row r="25" spans="1:24" ht="27.95" customHeight="1">
      <c r="A25" s="7" t="s">
        <v>180</v>
      </c>
      <c r="B25" s="44" t="s">
        <v>181</v>
      </c>
      <c r="C25" s="35" t="s">
        <v>164</v>
      </c>
      <c r="D25" s="8">
        <v>46370</v>
      </c>
      <c r="E25" s="8">
        <v>46383</v>
      </c>
      <c r="F25" s="35" t="s">
        <v>177</v>
      </c>
      <c r="G25" s="7">
        <f t="shared" si="4"/>
        <v>18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>
        <v>8</v>
      </c>
      <c r="S25" s="15">
        <v>10</v>
      </c>
      <c r="T25" s="15"/>
      <c r="U25" s="15"/>
      <c r="V25" s="15"/>
      <c r="W25" s="15"/>
      <c r="X25" s="15"/>
    </row>
    <row r="26" spans="1:24" ht="27.95" customHeight="1">
      <c r="A26" s="1" t="s">
        <v>182</v>
      </c>
      <c r="B26" s="42" t="s">
        <v>183</v>
      </c>
      <c r="C26" s="34" t="s">
        <v>149</v>
      </c>
      <c r="D26" s="9">
        <v>46349</v>
      </c>
      <c r="E26" s="9">
        <v>46397</v>
      </c>
      <c r="F26" s="34" t="s">
        <v>184</v>
      </c>
      <c r="G26" s="1">
        <f t="shared" si="4"/>
        <v>24</v>
      </c>
      <c r="H26" s="15"/>
      <c r="I26" s="15"/>
      <c r="J26" s="15"/>
      <c r="K26" s="15"/>
      <c r="L26" s="15"/>
      <c r="M26" s="15"/>
      <c r="N26" s="15"/>
      <c r="O26" s="15">
        <v>6</v>
      </c>
      <c r="P26" s="15"/>
      <c r="Q26" s="15"/>
      <c r="R26" s="15"/>
      <c r="S26" s="15">
        <v>8</v>
      </c>
      <c r="T26" s="15"/>
      <c r="U26" s="15">
        <v>10</v>
      </c>
      <c r="V26" s="15"/>
      <c r="W26" s="15"/>
      <c r="X26" s="15"/>
    </row>
    <row r="27" spans="1:24" ht="27.95" customHeight="1">
      <c r="A27" s="7" t="s">
        <v>185</v>
      </c>
      <c r="B27" s="44" t="s">
        <v>108</v>
      </c>
      <c r="C27" s="35" t="s">
        <v>149</v>
      </c>
      <c r="D27" s="8">
        <v>46377</v>
      </c>
      <c r="E27" s="8">
        <v>46404</v>
      </c>
      <c r="F27" s="35" t="s">
        <v>186</v>
      </c>
      <c r="G27" s="7">
        <f t="shared" si="4"/>
        <v>18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6</v>
      </c>
      <c r="T27" s="15"/>
      <c r="U27" s="15">
        <v>8</v>
      </c>
      <c r="V27" s="15">
        <v>4</v>
      </c>
      <c r="W27" s="15"/>
      <c r="X27" s="15"/>
    </row>
    <row r="28" spans="1:24" ht="27.95" customHeight="1">
      <c r="A28" s="1" t="s">
        <v>187</v>
      </c>
      <c r="B28" s="42" t="s">
        <v>188</v>
      </c>
      <c r="C28" s="34" t="s">
        <v>149</v>
      </c>
      <c r="D28" s="9">
        <v>46398</v>
      </c>
      <c r="E28" s="9">
        <v>46404</v>
      </c>
      <c r="F28" s="34" t="s">
        <v>189</v>
      </c>
      <c r="G28" s="1">
        <f t="shared" si="4"/>
        <v>24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>
        <v>24</v>
      </c>
      <c r="W28" s="15"/>
      <c r="X28" s="15"/>
    </row>
    <row r="29" spans="1:24" ht="27.95" customHeight="1">
      <c r="A29" s="7" t="s">
        <v>190</v>
      </c>
      <c r="B29" s="44" t="s">
        <v>111</v>
      </c>
      <c r="C29" s="35" t="s">
        <v>149</v>
      </c>
      <c r="D29" s="8">
        <v>46307</v>
      </c>
      <c r="E29" s="8">
        <v>46411</v>
      </c>
      <c r="F29" s="35" t="s">
        <v>112</v>
      </c>
      <c r="G29" s="7">
        <f t="shared" si="4"/>
        <v>36</v>
      </c>
      <c r="H29" s="15"/>
      <c r="I29" s="15">
        <v>2</v>
      </c>
      <c r="J29" s="15">
        <v>2</v>
      </c>
      <c r="K29" s="15">
        <v>2</v>
      </c>
      <c r="L29" s="15">
        <v>2</v>
      </c>
      <c r="M29" s="15">
        <v>2</v>
      </c>
      <c r="N29" s="15">
        <v>2</v>
      </c>
      <c r="O29" s="15">
        <v>2</v>
      </c>
      <c r="P29" s="15">
        <v>2</v>
      </c>
      <c r="Q29" s="15">
        <v>2</v>
      </c>
      <c r="R29" s="15">
        <v>2</v>
      </c>
      <c r="S29" s="15">
        <v>2</v>
      </c>
      <c r="T29" s="15">
        <v>6</v>
      </c>
      <c r="U29" s="15">
        <v>2</v>
      </c>
      <c r="V29" s="15">
        <v>2</v>
      </c>
      <c r="W29" s="15">
        <v>4</v>
      </c>
      <c r="X29" s="15"/>
    </row>
    <row r="30" spans="1:24" ht="27.95" customHeight="1">
      <c r="A30" s="1" t="s">
        <v>191</v>
      </c>
      <c r="B30" s="42" t="s">
        <v>192</v>
      </c>
      <c r="C30" s="34" t="s">
        <v>149</v>
      </c>
      <c r="D30" s="9">
        <v>46307</v>
      </c>
      <c r="E30" s="9">
        <v>46418</v>
      </c>
      <c r="F30" s="34" t="s">
        <v>193</v>
      </c>
      <c r="G30" s="1">
        <f t="shared" si="4"/>
        <v>70</v>
      </c>
      <c r="H30" s="15"/>
      <c r="I30" s="15">
        <v>2</v>
      </c>
      <c r="J30" s="15">
        <v>2</v>
      </c>
      <c r="K30" s="15">
        <v>2</v>
      </c>
      <c r="L30" s="15">
        <v>2</v>
      </c>
      <c r="M30" s="15">
        <v>2</v>
      </c>
      <c r="N30" s="15">
        <v>2</v>
      </c>
      <c r="O30" s="15">
        <v>2</v>
      </c>
      <c r="P30" s="15">
        <v>2</v>
      </c>
      <c r="Q30" s="15">
        <v>2</v>
      </c>
      <c r="R30" s="15">
        <v>2</v>
      </c>
      <c r="S30" s="15">
        <v>2</v>
      </c>
      <c r="T30" s="15">
        <v>6</v>
      </c>
      <c r="U30" s="15"/>
      <c r="V30" s="15"/>
      <c r="W30" s="15">
        <v>26</v>
      </c>
      <c r="X30" s="15">
        <v>16</v>
      </c>
    </row>
    <row r="31" spans="1:24" ht="27.95" customHeight="1">
      <c r="A31" s="7" t="s">
        <v>194</v>
      </c>
      <c r="B31" s="44" t="s">
        <v>195</v>
      </c>
      <c r="C31" s="35" t="s">
        <v>149</v>
      </c>
      <c r="D31" s="8">
        <v>46412</v>
      </c>
      <c r="E31" s="8">
        <v>46418</v>
      </c>
      <c r="F31" s="35" t="s">
        <v>196</v>
      </c>
      <c r="G31" s="7">
        <f t="shared" si="4"/>
        <v>10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>
        <v>10</v>
      </c>
    </row>
    <row r="32" spans="1:24" ht="27.95" customHeight="1">
      <c r="A32" s="1" t="s">
        <v>197</v>
      </c>
      <c r="B32" s="42" t="s">
        <v>120</v>
      </c>
      <c r="C32" s="34" t="s">
        <v>149</v>
      </c>
      <c r="D32" s="9">
        <v>46307</v>
      </c>
      <c r="E32" s="9">
        <v>46418</v>
      </c>
      <c r="F32" s="34" t="s">
        <v>121</v>
      </c>
      <c r="G32" s="1">
        <f t="shared" si="4"/>
        <v>58</v>
      </c>
      <c r="H32" s="15"/>
      <c r="I32" s="15">
        <v>2</v>
      </c>
      <c r="J32" s="15">
        <v>2</v>
      </c>
      <c r="K32" s="15">
        <v>2</v>
      </c>
      <c r="L32" s="15">
        <v>2</v>
      </c>
      <c r="M32" s="15">
        <v>2</v>
      </c>
      <c r="N32" s="15">
        <v>4</v>
      </c>
      <c r="O32" s="15">
        <v>2</v>
      </c>
      <c r="P32" s="15">
        <v>4</v>
      </c>
      <c r="Q32" s="15">
        <v>4</v>
      </c>
      <c r="R32" s="15">
        <v>4</v>
      </c>
      <c r="S32" s="15">
        <v>4</v>
      </c>
      <c r="T32" s="15">
        <v>4</v>
      </c>
      <c r="U32" s="15">
        <v>4</v>
      </c>
      <c r="V32" s="15">
        <v>6</v>
      </c>
      <c r="W32" s="15">
        <v>6</v>
      </c>
      <c r="X32" s="15">
        <v>6</v>
      </c>
    </row>
    <row r="33" spans="1:24">
      <c r="A33" s="16" t="s">
        <v>198</v>
      </c>
      <c r="B33" s="45"/>
      <c r="C33" s="36"/>
      <c r="D33" s="16"/>
      <c r="E33" s="16"/>
      <c r="F33" s="36"/>
      <c r="G33" s="16"/>
      <c r="H33" s="17">
        <f t="shared" ref="H33:X33" si="5">SUMIF($C$13:$C$32,"I1",H13:H32)+SUMIF($C$13:$C$32,"Ambos",H13:H32)/2</f>
        <v>10</v>
      </c>
      <c r="I33" s="17">
        <f t="shared" si="5"/>
        <v>25</v>
      </c>
      <c r="J33" s="17">
        <f t="shared" si="5"/>
        <v>27</v>
      </c>
      <c r="K33" s="17">
        <f t="shared" si="5"/>
        <v>29</v>
      </c>
      <c r="L33" s="17">
        <f t="shared" si="5"/>
        <v>23</v>
      </c>
      <c r="M33" s="17">
        <f t="shared" si="5"/>
        <v>3</v>
      </c>
      <c r="N33" s="17">
        <f t="shared" si="5"/>
        <v>12</v>
      </c>
      <c r="O33" s="17">
        <f t="shared" si="5"/>
        <v>22</v>
      </c>
      <c r="P33" s="17">
        <f t="shared" si="5"/>
        <v>32</v>
      </c>
      <c r="Q33" s="17">
        <f t="shared" si="5"/>
        <v>20</v>
      </c>
      <c r="R33" s="17">
        <f t="shared" si="5"/>
        <v>4</v>
      </c>
      <c r="S33" s="17">
        <f t="shared" si="5"/>
        <v>11</v>
      </c>
      <c r="T33" s="17">
        <f t="shared" si="5"/>
        <v>8</v>
      </c>
      <c r="U33" s="17">
        <f t="shared" si="5"/>
        <v>12</v>
      </c>
      <c r="V33" s="17">
        <f t="shared" si="5"/>
        <v>18</v>
      </c>
      <c r="W33" s="17">
        <f t="shared" si="5"/>
        <v>18</v>
      </c>
      <c r="X33" s="17">
        <f t="shared" si="5"/>
        <v>16</v>
      </c>
    </row>
    <row r="34" spans="1:24">
      <c r="A34" s="16" t="s">
        <v>199</v>
      </c>
      <c r="B34" s="45"/>
      <c r="C34" s="36"/>
      <c r="D34" s="16"/>
      <c r="E34" s="16"/>
      <c r="F34" s="36"/>
      <c r="G34" s="16"/>
      <c r="H34" s="17">
        <f t="shared" ref="H34:X34" si="6">SUMIF($C$13:$C$32,"I2",H13:H32)+SUMIF($C$13:$C$32,"Ambos",H13:H32)/2</f>
        <v>10</v>
      </c>
      <c r="I34" s="17">
        <f t="shared" si="6"/>
        <v>7</v>
      </c>
      <c r="J34" s="17">
        <f t="shared" si="6"/>
        <v>7</v>
      </c>
      <c r="K34" s="17">
        <f t="shared" si="6"/>
        <v>7</v>
      </c>
      <c r="L34" s="17">
        <f t="shared" si="6"/>
        <v>13</v>
      </c>
      <c r="M34" s="17">
        <f t="shared" si="6"/>
        <v>33</v>
      </c>
      <c r="N34" s="17">
        <f t="shared" si="6"/>
        <v>24</v>
      </c>
      <c r="O34" s="17">
        <f t="shared" si="6"/>
        <v>14</v>
      </c>
      <c r="P34" s="17">
        <f t="shared" si="6"/>
        <v>4</v>
      </c>
      <c r="Q34" s="17">
        <f t="shared" si="6"/>
        <v>16</v>
      </c>
      <c r="R34" s="17">
        <f t="shared" si="6"/>
        <v>32</v>
      </c>
      <c r="S34" s="17">
        <f t="shared" si="6"/>
        <v>21</v>
      </c>
      <c r="T34" s="17">
        <f t="shared" si="6"/>
        <v>8</v>
      </c>
      <c r="U34" s="17">
        <f t="shared" si="6"/>
        <v>12</v>
      </c>
      <c r="V34" s="17">
        <f t="shared" si="6"/>
        <v>18</v>
      </c>
      <c r="W34" s="17">
        <f t="shared" si="6"/>
        <v>18</v>
      </c>
      <c r="X34" s="17">
        <f t="shared" si="6"/>
        <v>16</v>
      </c>
    </row>
    <row r="35" spans="1:24" ht="18">
      <c r="A35" s="18" t="s">
        <v>122</v>
      </c>
      <c r="B35" s="42"/>
      <c r="C35" s="34"/>
      <c r="D35" s="1"/>
      <c r="E35" s="1"/>
      <c r="F35" s="3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0" customHeight="1">
      <c r="A36" s="1" t="s">
        <v>147</v>
      </c>
      <c r="B36" s="33" t="s">
        <v>200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s="40" customFormat="1" ht="30" customHeight="1">
      <c r="A37" s="38" t="s">
        <v>150</v>
      </c>
      <c r="B37" s="39" t="s">
        <v>201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spans="1:24" s="40" customFormat="1" ht="30" customHeight="1">
      <c r="A38" s="38" t="s">
        <v>153</v>
      </c>
      <c r="B38" s="39" t="s">
        <v>202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1:24" s="40" customFormat="1" ht="30" customHeight="1">
      <c r="A39" s="38" t="s">
        <v>156</v>
      </c>
      <c r="B39" s="39" t="s">
        <v>203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spans="1:24" s="40" customFormat="1" ht="30" customHeight="1">
      <c r="A40" s="38" t="s">
        <v>159</v>
      </c>
      <c r="B40" s="39" t="s">
        <v>204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spans="1:24" s="40" customFormat="1" ht="30" customHeight="1">
      <c r="A41" s="38" t="s">
        <v>161</v>
      </c>
      <c r="B41" s="39" t="s">
        <v>205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 s="40" customFormat="1" ht="30" customHeight="1">
      <c r="A42" s="38" t="s">
        <v>162</v>
      </c>
      <c r="B42" s="39" t="s">
        <v>206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spans="1:24" s="40" customFormat="1" ht="30" customHeight="1">
      <c r="A43" s="38" t="s">
        <v>166</v>
      </c>
      <c r="B43" s="39" t="s">
        <v>207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1:24" s="40" customFormat="1" ht="30" customHeight="1">
      <c r="A44" s="38" t="s">
        <v>169</v>
      </c>
      <c r="B44" s="39" t="s">
        <v>208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spans="1:24" s="40" customFormat="1" ht="30" customHeight="1">
      <c r="A45" s="38" t="s">
        <v>172</v>
      </c>
      <c r="B45" s="39" t="s">
        <v>209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 s="40" customFormat="1" ht="30" customHeight="1">
      <c r="A46" s="38" t="s">
        <v>174</v>
      </c>
      <c r="B46" s="39" t="s">
        <v>210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spans="1:24" s="40" customFormat="1" ht="30" customHeight="1">
      <c r="A47" s="38" t="s">
        <v>177</v>
      </c>
      <c r="B47" s="39" t="s">
        <v>211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spans="1:24" s="40" customFormat="1" ht="30" customHeight="1">
      <c r="A48" s="38" t="s">
        <v>180</v>
      </c>
      <c r="B48" s="39" t="s">
        <v>212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spans="1:24" s="40" customFormat="1" ht="30" customHeight="1">
      <c r="A49" s="38" t="s">
        <v>182</v>
      </c>
      <c r="B49" s="39" t="s">
        <v>213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spans="1:24" s="40" customFormat="1" ht="30" customHeight="1">
      <c r="A50" s="38" t="s">
        <v>185</v>
      </c>
      <c r="B50" s="39" t="s">
        <v>214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spans="1:24" s="40" customFormat="1" ht="30" customHeight="1">
      <c r="A51" s="38" t="s">
        <v>187</v>
      </c>
      <c r="B51" s="39" t="s">
        <v>215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 s="40" customFormat="1" ht="30" customHeight="1">
      <c r="A52" s="38" t="s">
        <v>190</v>
      </c>
      <c r="B52" s="39" t="s">
        <v>216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40" customFormat="1" ht="30" customHeight="1">
      <c r="A53" s="40" t="s">
        <v>191</v>
      </c>
      <c r="B53" s="41" t="s">
        <v>217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 spans="1:24" s="40" customFormat="1" ht="30" customHeight="1">
      <c r="A54" s="40" t="s">
        <v>194</v>
      </c>
      <c r="B54" s="41" t="s">
        <v>218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 spans="1:24" s="40" customFormat="1" ht="30" customHeight="1">
      <c r="A55" s="40" t="s">
        <v>197</v>
      </c>
      <c r="B55" s="41" t="s">
        <v>219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</sheetData>
  <mergeCells count="20">
    <mergeCell ref="B51:X51"/>
    <mergeCell ref="B52:X52"/>
    <mergeCell ref="B53:X53"/>
    <mergeCell ref="B54:X54"/>
    <mergeCell ref="B55:X55"/>
    <mergeCell ref="B46:X46"/>
    <mergeCell ref="B47:X47"/>
    <mergeCell ref="B48:X48"/>
    <mergeCell ref="B49:X49"/>
    <mergeCell ref="B50:X50"/>
    <mergeCell ref="B41:X41"/>
    <mergeCell ref="B42:X42"/>
    <mergeCell ref="B43:X43"/>
    <mergeCell ref="B44:X44"/>
    <mergeCell ref="B45:X45"/>
    <mergeCell ref="B36:X36"/>
    <mergeCell ref="B37:X37"/>
    <mergeCell ref="B38:X38"/>
    <mergeCell ref="B39:X39"/>
    <mergeCell ref="B40:X40"/>
  </mergeCells>
  <conditionalFormatting sqref="H8:X8">
    <cfRule type="cellIs" dxfId="2" priority="3" operator="greaterThan">
      <formula>40</formula>
    </cfRule>
  </conditionalFormatting>
  <conditionalFormatting sqref="H13:X31">
    <cfRule type="cellIs" dxfId="1" priority="1" operator="greaterThan">
      <formula>0</formula>
    </cfRule>
  </conditionalFormatting>
  <conditionalFormatting sqref="H32:X32">
    <cfRule type="cellIs" dxfId="0" priority="2" operator="greaterThan">
      <formula>0</formula>
    </cfRule>
  </conditionalFormatting>
  <dataValidations count="1">
    <dataValidation type="whole" sqref="H13:X32" xr:uid="{00000000-0002-0000-0200-000000000000}">
      <formula1>0</formula1>
      <formula2>40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Comparación</vt:lpstr>
      <vt:lpstr>Gantt A</vt:lpstr>
      <vt:lpstr>Gantt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Hanako Amaya</cp:lastModifiedBy>
  <dcterms:modified xsi:type="dcterms:W3CDTF">2026-10-12T23:32:45Z</dcterms:modified>
</cp:coreProperties>
</file>